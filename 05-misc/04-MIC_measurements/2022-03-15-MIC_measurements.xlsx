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waldburger/Documents/01-RESEARCH/01-experiments/eLW008-dRNA_seq/code/MIC_measurements/"/>
    </mc:Choice>
  </mc:AlternateContent>
  <xr:revisionPtr revIDLastSave="0" documentId="13_ncr:1_{2659ABFA-AF37-634D-AA22-25890F14940A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layout" sheetId="3" r:id="rId1"/>
    <sheet name="measurement" sheetId="4" r:id="rId2"/>
    <sheet name="blank_wel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0" i="3" l="1"/>
  <c r="Q10" i="3" s="1"/>
  <c r="R10" i="3" s="1"/>
  <c r="S10" i="3" s="1"/>
  <c r="T10" i="3" s="1"/>
  <c r="U10" i="3" s="1"/>
  <c r="V10" i="3" s="1"/>
  <c r="W10" i="3" s="1"/>
  <c r="X10" i="3" s="1"/>
  <c r="Y10" i="3" s="1"/>
  <c r="P9" i="3"/>
  <c r="Q9" i="3" s="1"/>
  <c r="R9" i="3" s="1"/>
  <c r="S9" i="3" s="1"/>
  <c r="T9" i="3" s="1"/>
  <c r="U9" i="3" s="1"/>
  <c r="V9" i="3" s="1"/>
  <c r="W9" i="3" s="1"/>
  <c r="X9" i="3" s="1"/>
  <c r="Y9" i="3" s="1"/>
  <c r="P8" i="3"/>
  <c r="Q8" i="3" s="1"/>
  <c r="R8" i="3" s="1"/>
  <c r="S8" i="3" s="1"/>
  <c r="T8" i="3" s="1"/>
  <c r="U8" i="3" s="1"/>
  <c r="V8" i="3" s="1"/>
  <c r="W8" i="3" s="1"/>
  <c r="X8" i="3" s="1"/>
  <c r="Y8" i="3" s="1"/>
  <c r="P7" i="3"/>
  <c r="Q7" i="3" s="1"/>
  <c r="R7" i="3" s="1"/>
  <c r="S7" i="3" s="1"/>
  <c r="T7" i="3" s="1"/>
  <c r="U7" i="3" s="1"/>
  <c r="V7" i="3" s="1"/>
  <c r="W7" i="3" s="1"/>
  <c r="X7" i="3" s="1"/>
  <c r="Y7" i="3" s="1"/>
  <c r="P6" i="3"/>
  <c r="Q6" i="3" s="1"/>
  <c r="R6" i="3" s="1"/>
  <c r="S6" i="3" s="1"/>
  <c r="T6" i="3" s="1"/>
  <c r="U6" i="3" s="1"/>
  <c r="V6" i="3" s="1"/>
  <c r="W6" i="3" s="1"/>
  <c r="X6" i="3" s="1"/>
  <c r="Y6" i="3" s="1"/>
  <c r="P5" i="3"/>
  <c r="Q5" i="3" s="1"/>
  <c r="R5" i="3" s="1"/>
  <c r="S5" i="3" s="1"/>
  <c r="T5" i="3" s="1"/>
  <c r="U5" i="3" s="1"/>
  <c r="V5" i="3" s="1"/>
  <c r="W5" i="3" s="1"/>
  <c r="X5" i="3" s="1"/>
  <c r="Y5" i="3" s="1"/>
  <c r="P4" i="3"/>
  <c r="Q4" i="3" s="1"/>
  <c r="R4" i="3" s="1"/>
  <c r="S4" i="3" s="1"/>
  <c r="T4" i="3" s="1"/>
  <c r="U4" i="3" s="1"/>
  <c r="V4" i="3" s="1"/>
  <c r="W4" i="3" s="1"/>
  <c r="X4" i="3" s="1"/>
  <c r="Y4" i="3" s="1"/>
  <c r="P3" i="3"/>
  <c r="Q3" i="3" s="1"/>
  <c r="R3" i="3" s="1"/>
  <c r="S3" i="3" s="1"/>
  <c r="T3" i="3" s="1"/>
  <c r="U3" i="3" s="1"/>
  <c r="V3" i="3" s="1"/>
  <c r="W3" i="3" s="1"/>
  <c r="X3" i="3" s="1"/>
  <c r="Y3" i="3" s="1"/>
</calcChain>
</file>

<file path=xl/sharedStrings.xml><?xml version="1.0" encoding="utf-8"?>
<sst xmlns="http://schemas.openxmlformats.org/spreadsheetml/2006/main" count="91" uniqueCount="27">
  <si>
    <t>strain</t>
  </si>
  <si>
    <t>A</t>
  </si>
  <si>
    <t>sLW002</t>
  </si>
  <si>
    <t>B</t>
  </si>
  <si>
    <t>C</t>
  </si>
  <si>
    <t>D</t>
  </si>
  <si>
    <t>E</t>
  </si>
  <si>
    <t>F</t>
  </si>
  <si>
    <t>G</t>
  </si>
  <si>
    <t>H</t>
  </si>
  <si>
    <t>antibiotic_name</t>
  </si>
  <si>
    <t>carbenicillin</t>
  </si>
  <si>
    <t>gentamicin</t>
  </si>
  <si>
    <t>kanamycin</t>
  </si>
  <si>
    <t>chloramphenicol</t>
  </si>
  <si>
    <t>spectinomycin</t>
  </si>
  <si>
    <t>tetracycline</t>
  </si>
  <si>
    <t>hygromycin</t>
  </si>
  <si>
    <t>ampramycin</t>
  </si>
  <si>
    <t>sLW005</t>
  </si>
  <si>
    <t>sLW006</t>
  </si>
  <si>
    <t>blank</t>
  </si>
  <si>
    <t>\</t>
  </si>
  <si>
    <t>OD</t>
  </si>
  <si>
    <t>replicate</t>
  </si>
  <si>
    <t>name</t>
  </si>
  <si>
    <t>antibiotic_concentration-mg/L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</si>
</sst>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8696B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4" xfId="0" applyFont="1" applyFill="1" applyBorder="1" applyAlignment="1">
      <alignment horizontal="right"/>
    </xf>
    <xf numFmtId="0" fontId="1" fillId="2" borderId="4" xfId="0" applyFont="1" applyFill="1" applyBorder="1" applyAlignment="1"/>
    <xf numFmtId="2" fontId="3" fillId="0" borderId="4" xfId="0" applyNumberFormat="1" applyFont="1" applyBorder="1" applyAlignment="1">
      <alignment horizontal="center"/>
    </xf>
    <xf numFmtId="0" fontId="0" fillId="0" borderId="0" xfId="0"/>
    <xf numFmtId="0" fontId="4" fillId="0" borderId="0" xfId="0" applyFont="1" applyAlignment="1"/>
    <xf numFmtId="0" fontId="5" fillId="3" borderId="0" xfId="0" applyFont="1" applyFill="1" applyAlignment="1"/>
    <xf numFmtId="0" fontId="1" fillId="2" borderId="8" xfId="0" applyFont="1" applyFill="1" applyBorder="1" applyAlignment="1"/>
    <xf numFmtId="0" fontId="1" fillId="2" borderId="8" xfId="0" applyFont="1" applyFill="1" applyBorder="1" applyAlignment="1">
      <alignment horizontal="right"/>
    </xf>
    <xf numFmtId="0" fontId="0" fillId="0" borderId="7" xfId="0" applyBorder="1"/>
    <xf numFmtId="0" fontId="6" fillId="0" borderId="0" xfId="0" applyFont="1" applyAlignment="1"/>
    <xf numFmtId="0" fontId="1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0" borderId="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81A6-0197-984C-B382-95E02118E86E}">
  <sheetPr>
    <outlinePr summaryBelow="0" summaryRight="0"/>
    <pageSetUpPr fitToPage="1"/>
  </sheetPr>
  <dimension ref="A1:Z10"/>
  <sheetViews>
    <sheetView tabSelected="1" zoomScale="165" workbookViewId="0">
      <selection activeCell="S14" sqref="S14"/>
    </sheetView>
  </sheetViews>
  <sheetFormatPr baseColWidth="10" defaultColWidth="14.5" defaultRowHeight="15.75" customHeight="1" x14ac:dyDescent="0.15"/>
  <cols>
    <col min="1" max="1" width="2.5" bestFit="1" customWidth="1"/>
    <col min="2" max="10" width="2.1640625" bestFit="1" customWidth="1"/>
    <col min="11" max="13" width="3.1640625" bestFit="1" customWidth="1"/>
    <col min="14" max="14" width="2.5" bestFit="1" customWidth="1"/>
    <col min="15" max="15" width="7.6640625" bestFit="1" customWidth="1"/>
    <col min="16" max="18" width="6.6640625" bestFit="1" customWidth="1"/>
    <col min="19" max="21" width="5.6640625" bestFit="1" customWidth="1"/>
    <col min="22" max="26" width="4.6640625" bestFit="1" customWidth="1"/>
    <col min="27" max="27" width="2.5" bestFit="1" customWidth="1"/>
    <col min="28" max="39" width="7.1640625" bestFit="1" customWidth="1"/>
  </cols>
  <sheetData>
    <row r="1" spans="1:26" s="10" customFormat="1" ht="15.75" customHeight="1" x14ac:dyDescent="0.15">
      <c r="A1" s="11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 t="s">
        <v>26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 x14ac:dyDescent="0.15">
      <c r="A2" s="2" t="s">
        <v>22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2" t="s">
        <v>22</v>
      </c>
      <c r="O2" s="1">
        <v>1</v>
      </c>
      <c r="P2" s="1">
        <v>2</v>
      </c>
      <c r="Q2" s="1">
        <v>3</v>
      </c>
      <c r="R2" s="1">
        <v>4</v>
      </c>
      <c r="S2" s="1">
        <v>5</v>
      </c>
      <c r="T2" s="1">
        <v>6</v>
      </c>
      <c r="U2" s="1">
        <v>7</v>
      </c>
      <c r="V2" s="1">
        <v>8</v>
      </c>
      <c r="W2" s="1">
        <v>9</v>
      </c>
      <c r="X2" s="1">
        <v>10</v>
      </c>
      <c r="Y2" s="1">
        <v>11</v>
      </c>
      <c r="Z2" s="1">
        <v>12</v>
      </c>
    </row>
    <row r="3" spans="1:26" ht="15.75" customHeight="1" x14ac:dyDescent="0.15">
      <c r="A3" s="2" t="s">
        <v>1</v>
      </c>
      <c r="B3" s="12" t="s">
        <v>11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2" t="s">
        <v>1</v>
      </c>
      <c r="O3" s="3">
        <v>1000</v>
      </c>
      <c r="P3" s="3">
        <f t="shared" ref="P3:Y3" si="0">O3/2</f>
        <v>500</v>
      </c>
      <c r="Q3" s="3">
        <f t="shared" si="0"/>
        <v>250</v>
      </c>
      <c r="R3" s="3">
        <f t="shared" si="0"/>
        <v>125</v>
      </c>
      <c r="S3" s="3">
        <f t="shared" si="0"/>
        <v>62.5</v>
      </c>
      <c r="T3" s="3">
        <f t="shared" si="0"/>
        <v>31.25</v>
      </c>
      <c r="U3" s="3">
        <f t="shared" si="0"/>
        <v>15.625</v>
      </c>
      <c r="V3" s="3">
        <f t="shared" si="0"/>
        <v>7.8125</v>
      </c>
      <c r="W3" s="3">
        <f t="shared" si="0"/>
        <v>3.90625</v>
      </c>
      <c r="X3" s="3">
        <f t="shared" si="0"/>
        <v>1.953125</v>
      </c>
      <c r="Y3" s="3">
        <f t="shared" si="0"/>
        <v>0.9765625</v>
      </c>
      <c r="Z3" s="3">
        <v>0</v>
      </c>
    </row>
    <row r="4" spans="1:26" ht="15.75" customHeight="1" x14ac:dyDescent="0.15">
      <c r="A4" s="2" t="s">
        <v>3</v>
      </c>
      <c r="B4" s="12" t="s">
        <v>12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  <c r="N4" s="2" t="s">
        <v>3</v>
      </c>
      <c r="O4" s="3">
        <v>200</v>
      </c>
      <c r="P4" s="3">
        <f t="shared" ref="P4:Y4" si="1">O4/2</f>
        <v>100</v>
      </c>
      <c r="Q4" s="3">
        <f t="shared" si="1"/>
        <v>50</v>
      </c>
      <c r="R4" s="3">
        <f t="shared" si="1"/>
        <v>25</v>
      </c>
      <c r="S4" s="3">
        <f t="shared" si="1"/>
        <v>12.5</v>
      </c>
      <c r="T4" s="3">
        <f t="shared" si="1"/>
        <v>6.25</v>
      </c>
      <c r="U4" s="3">
        <f t="shared" si="1"/>
        <v>3.125</v>
      </c>
      <c r="V4" s="3">
        <f t="shared" si="1"/>
        <v>1.5625</v>
      </c>
      <c r="W4" s="3">
        <f t="shared" si="1"/>
        <v>0.78125</v>
      </c>
      <c r="X4" s="3">
        <f t="shared" si="1"/>
        <v>0.390625</v>
      </c>
      <c r="Y4" s="3">
        <f t="shared" si="1"/>
        <v>0.1953125</v>
      </c>
      <c r="Z4" s="3">
        <v>0</v>
      </c>
    </row>
    <row r="5" spans="1:26" ht="15.75" customHeight="1" x14ac:dyDescent="0.15">
      <c r="A5" s="2" t="s">
        <v>4</v>
      </c>
      <c r="B5" s="12" t="s">
        <v>13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  <c r="N5" s="2" t="s">
        <v>4</v>
      </c>
      <c r="O5" s="3">
        <v>1000</v>
      </c>
      <c r="P5" s="3">
        <f t="shared" ref="P5:Y5" si="2">O5/2</f>
        <v>500</v>
      </c>
      <c r="Q5" s="3">
        <f t="shared" si="2"/>
        <v>250</v>
      </c>
      <c r="R5" s="3">
        <f t="shared" si="2"/>
        <v>125</v>
      </c>
      <c r="S5" s="3">
        <f t="shared" si="2"/>
        <v>62.5</v>
      </c>
      <c r="T5" s="3">
        <f t="shared" si="2"/>
        <v>31.25</v>
      </c>
      <c r="U5" s="3">
        <f t="shared" si="2"/>
        <v>15.625</v>
      </c>
      <c r="V5" s="3">
        <f t="shared" si="2"/>
        <v>7.8125</v>
      </c>
      <c r="W5" s="3">
        <f t="shared" si="2"/>
        <v>3.90625</v>
      </c>
      <c r="X5" s="3">
        <f t="shared" si="2"/>
        <v>1.953125</v>
      </c>
      <c r="Y5" s="3">
        <f t="shared" si="2"/>
        <v>0.9765625</v>
      </c>
      <c r="Z5" s="3">
        <v>0</v>
      </c>
    </row>
    <row r="6" spans="1:26" ht="15.75" customHeight="1" x14ac:dyDescent="0.15">
      <c r="A6" s="2" t="s">
        <v>5</v>
      </c>
      <c r="B6" s="12" t="s">
        <v>14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2" t="s">
        <v>5</v>
      </c>
      <c r="O6" s="3">
        <v>500</v>
      </c>
      <c r="P6" s="3">
        <f t="shared" ref="P6:Y6" si="3">O6/2</f>
        <v>250</v>
      </c>
      <c r="Q6" s="3">
        <f t="shared" si="3"/>
        <v>125</v>
      </c>
      <c r="R6" s="3">
        <f t="shared" si="3"/>
        <v>62.5</v>
      </c>
      <c r="S6" s="3">
        <f t="shared" si="3"/>
        <v>31.25</v>
      </c>
      <c r="T6" s="3">
        <f t="shared" si="3"/>
        <v>15.625</v>
      </c>
      <c r="U6" s="3">
        <f t="shared" si="3"/>
        <v>7.8125</v>
      </c>
      <c r="V6" s="3">
        <f t="shared" si="3"/>
        <v>3.90625</v>
      </c>
      <c r="W6" s="3">
        <f t="shared" si="3"/>
        <v>1.953125</v>
      </c>
      <c r="X6" s="3">
        <f t="shared" si="3"/>
        <v>0.9765625</v>
      </c>
      <c r="Y6" s="3">
        <f t="shared" si="3"/>
        <v>0.48828125</v>
      </c>
      <c r="Z6" s="3">
        <v>0</v>
      </c>
    </row>
    <row r="7" spans="1:26" ht="15.75" customHeight="1" x14ac:dyDescent="0.15">
      <c r="A7" s="2" t="s">
        <v>6</v>
      </c>
      <c r="B7" s="12" t="s">
        <v>15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  <c r="N7" s="2" t="s">
        <v>6</v>
      </c>
      <c r="O7" s="3">
        <v>1000</v>
      </c>
      <c r="P7" s="3">
        <f t="shared" ref="P7:Y7" si="4">O7/2</f>
        <v>500</v>
      </c>
      <c r="Q7" s="3">
        <f t="shared" si="4"/>
        <v>250</v>
      </c>
      <c r="R7" s="3">
        <f t="shared" si="4"/>
        <v>125</v>
      </c>
      <c r="S7" s="3">
        <f t="shared" si="4"/>
        <v>62.5</v>
      </c>
      <c r="T7" s="3">
        <f t="shared" si="4"/>
        <v>31.25</v>
      </c>
      <c r="U7" s="3">
        <f t="shared" si="4"/>
        <v>15.625</v>
      </c>
      <c r="V7" s="3">
        <f t="shared" si="4"/>
        <v>7.8125</v>
      </c>
      <c r="W7" s="3">
        <f t="shared" si="4"/>
        <v>3.90625</v>
      </c>
      <c r="X7" s="3">
        <f t="shared" si="4"/>
        <v>1.953125</v>
      </c>
      <c r="Y7" s="3">
        <f t="shared" si="4"/>
        <v>0.9765625</v>
      </c>
      <c r="Z7" s="3">
        <v>0</v>
      </c>
    </row>
    <row r="8" spans="1:26" ht="15.75" customHeight="1" x14ac:dyDescent="0.15">
      <c r="A8" s="2" t="s">
        <v>7</v>
      </c>
      <c r="B8" s="12" t="s">
        <v>16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  <c r="N8" s="2" t="s">
        <v>7</v>
      </c>
      <c r="O8" s="3">
        <v>50</v>
      </c>
      <c r="P8" s="3">
        <f t="shared" ref="P8:Y8" si="5">O8/2</f>
        <v>25</v>
      </c>
      <c r="Q8" s="3">
        <f t="shared" si="5"/>
        <v>12.5</v>
      </c>
      <c r="R8" s="3">
        <f t="shared" si="5"/>
        <v>6.25</v>
      </c>
      <c r="S8" s="3">
        <f t="shared" si="5"/>
        <v>3.125</v>
      </c>
      <c r="T8" s="3">
        <f t="shared" si="5"/>
        <v>1.5625</v>
      </c>
      <c r="U8" s="3">
        <f t="shared" si="5"/>
        <v>0.78125</v>
      </c>
      <c r="V8" s="3">
        <f t="shared" si="5"/>
        <v>0.390625</v>
      </c>
      <c r="W8" s="3">
        <f t="shared" si="5"/>
        <v>0.1953125</v>
      </c>
      <c r="X8" s="3">
        <f t="shared" si="5"/>
        <v>9.765625E-2</v>
      </c>
      <c r="Y8" s="3">
        <f t="shared" si="5"/>
        <v>4.8828125E-2</v>
      </c>
      <c r="Z8" s="3">
        <v>0</v>
      </c>
    </row>
    <row r="9" spans="1:26" ht="15.75" customHeight="1" x14ac:dyDescent="0.15">
      <c r="A9" s="2" t="s">
        <v>8</v>
      </c>
      <c r="B9" s="12" t="s">
        <v>17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4"/>
      <c r="N9" s="2" t="s">
        <v>8</v>
      </c>
      <c r="O9" s="3">
        <v>1000</v>
      </c>
      <c r="P9" s="3">
        <f t="shared" ref="P9:Y9" si="6">O9/2</f>
        <v>500</v>
      </c>
      <c r="Q9" s="3">
        <f t="shared" si="6"/>
        <v>250</v>
      </c>
      <c r="R9" s="3">
        <f t="shared" si="6"/>
        <v>125</v>
      </c>
      <c r="S9" s="3">
        <f t="shared" si="6"/>
        <v>62.5</v>
      </c>
      <c r="T9" s="3">
        <f t="shared" si="6"/>
        <v>31.25</v>
      </c>
      <c r="U9" s="3">
        <f t="shared" si="6"/>
        <v>15.625</v>
      </c>
      <c r="V9" s="3">
        <f t="shared" si="6"/>
        <v>7.8125</v>
      </c>
      <c r="W9" s="3">
        <f t="shared" si="6"/>
        <v>3.90625</v>
      </c>
      <c r="X9" s="3">
        <f t="shared" si="6"/>
        <v>1.953125</v>
      </c>
      <c r="Y9" s="3">
        <f t="shared" si="6"/>
        <v>0.9765625</v>
      </c>
      <c r="Z9" s="3">
        <v>0</v>
      </c>
    </row>
    <row r="10" spans="1:26" ht="15.75" customHeight="1" x14ac:dyDescent="0.15">
      <c r="A10" s="2" t="s">
        <v>9</v>
      </c>
      <c r="B10" s="12" t="s">
        <v>18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/>
      <c r="N10" s="2" t="s">
        <v>9</v>
      </c>
      <c r="O10" s="3">
        <v>1000</v>
      </c>
      <c r="P10" s="3">
        <f t="shared" ref="P10:Y10" si="7">O10/2</f>
        <v>500</v>
      </c>
      <c r="Q10" s="3">
        <f t="shared" si="7"/>
        <v>250</v>
      </c>
      <c r="R10" s="3">
        <f t="shared" si="7"/>
        <v>125</v>
      </c>
      <c r="S10" s="3">
        <f t="shared" si="7"/>
        <v>62.5</v>
      </c>
      <c r="T10" s="3">
        <f t="shared" si="7"/>
        <v>31.25</v>
      </c>
      <c r="U10" s="3">
        <f t="shared" si="7"/>
        <v>15.625</v>
      </c>
      <c r="V10" s="3">
        <f t="shared" si="7"/>
        <v>7.8125</v>
      </c>
      <c r="W10" s="3">
        <f t="shared" si="7"/>
        <v>3.90625</v>
      </c>
      <c r="X10" s="3">
        <f t="shared" si="7"/>
        <v>1.953125</v>
      </c>
      <c r="Y10" s="3">
        <f t="shared" si="7"/>
        <v>0.9765625</v>
      </c>
      <c r="Z10" s="3">
        <v>0</v>
      </c>
    </row>
  </sheetData>
  <mergeCells count="10">
    <mergeCell ref="N1:Z1"/>
    <mergeCell ref="B10:M10"/>
    <mergeCell ref="A1:M1"/>
    <mergeCell ref="B3:M3"/>
    <mergeCell ref="B4:M4"/>
    <mergeCell ref="B5:M5"/>
    <mergeCell ref="B6:M6"/>
    <mergeCell ref="B7:M7"/>
    <mergeCell ref="B8:M8"/>
    <mergeCell ref="B9:M9"/>
  </mergeCells>
  <printOptions horizontalCentered="1" gridLines="1"/>
  <pageMargins left="0.25" right="0.25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FBB1-E7F8-1F46-84EF-2D1BD6FB2A39}">
  <dimension ref="A1:O55"/>
  <sheetViews>
    <sheetView zoomScale="86" workbookViewId="0">
      <selection activeCell="J68" sqref="J68"/>
    </sheetView>
  </sheetViews>
  <sheetFormatPr baseColWidth="10" defaultRowHeight="13" x14ac:dyDescent="0.15"/>
  <cols>
    <col min="1" max="1" width="7.6640625" bestFit="1" customWidth="1"/>
    <col min="2" max="2" width="8.1640625" bestFit="1" customWidth="1"/>
    <col min="3" max="3" width="2.6640625" bestFit="1" customWidth="1"/>
    <col min="4" max="6" width="7.6640625" bestFit="1" customWidth="1"/>
    <col min="7" max="15" width="7.1640625" bestFit="1" customWidth="1"/>
  </cols>
  <sheetData>
    <row r="1" spans="1:15" x14ac:dyDescent="0.15">
      <c r="A1" s="5" t="s">
        <v>0</v>
      </c>
      <c r="B1" s="5" t="s">
        <v>24</v>
      </c>
      <c r="C1" s="15" t="s">
        <v>23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x14ac:dyDescent="0.15">
      <c r="A2" s="16" t="s">
        <v>2</v>
      </c>
      <c r="B2" s="17">
        <v>1</v>
      </c>
      <c r="C2" s="2" t="s">
        <v>22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</row>
    <row r="3" spans="1:15" x14ac:dyDescent="0.15">
      <c r="A3" s="16"/>
      <c r="B3" s="17"/>
      <c r="C3" s="2" t="s">
        <v>1</v>
      </c>
      <c r="D3" s="4">
        <v>-1.4E-3</v>
      </c>
      <c r="E3" s="4">
        <v>-4.3E-3</v>
      </c>
      <c r="F3" s="4">
        <v>-2.8000000000000099E-3</v>
      </c>
      <c r="G3" s="4">
        <v>2.8E-3</v>
      </c>
      <c r="H3" s="4">
        <v>1.01E-2</v>
      </c>
      <c r="I3" s="4">
        <v>1.66E-2</v>
      </c>
      <c r="J3" s="4">
        <v>3.9199999999999999E-2</v>
      </c>
      <c r="K3" s="4">
        <v>5.9400000000000001E-2</v>
      </c>
      <c r="L3" s="4">
        <v>0.1515</v>
      </c>
      <c r="M3" s="4">
        <v>0.29899999999999999</v>
      </c>
      <c r="N3" s="4">
        <v>0.33729999999999999</v>
      </c>
      <c r="O3" s="4">
        <v>0.25309999999999999</v>
      </c>
    </row>
    <row r="4" spans="1:15" x14ac:dyDescent="0.15">
      <c r="A4" s="16"/>
      <c r="B4" s="17"/>
      <c r="C4" s="2" t="s">
        <v>3</v>
      </c>
      <c r="D4" s="4">
        <v>3.5099999999999999E-2</v>
      </c>
      <c r="E4" s="4">
        <v>3.9899999999999998E-2</v>
      </c>
      <c r="F4" s="4">
        <v>4.2900000000000001E-2</v>
      </c>
      <c r="G4" s="4">
        <v>3.6299999999999999E-2</v>
      </c>
      <c r="H4" s="4">
        <v>4.7899999999999998E-2</v>
      </c>
      <c r="I4" s="4">
        <v>2.7400000000000001E-2</v>
      </c>
      <c r="J4" s="4">
        <v>2.0199999999999999E-2</v>
      </c>
      <c r="K4" s="4">
        <v>8.4999999999999902E-3</v>
      </c>
      <c r="L4" s="4">
        <v>2.2100000000000002E-2</v>
      </c>
      <c r="M4" s="4">
        <v>1.4200000000000001E-2</v>
      </c>
      <c r="N4" s="4">
        <v>2.3800000000000002E-2</v>
      </c>
      <c r="O4" s="4">
        <v>0.26729999999999998</v>
      </c>
    </row>
    <row r="5" spans="1:15" x14ac:dyDescent="0.15">
      <c r="A5" s="16"/>
      <c r="B5" s="17"/>
      <c r="C5" s="2" t="s">
        <v>4</v>
      </c>
      <c r="D5" s="4">
        <v>-5.8999999999999999E-3</v>
      </c>
      <c r="E5" s="4">
        <v>8.2000000000000007E-3</v>
      </c>
      <c r="F5" s="4">
        <v>2.4899999999999999E-2</v>
      </c>
      <c r="G5" s="4">
        <v>3.2300000000000002E-2</v>
      </c>
      <c r="H5" s="4">
        <v>3.9399999999999998E-2</v>
      </c>
      <c r="I5" s="4">
        <v>2.9600000000000001E-2</v>
      </c>
      <c r="J5" s="4">
        <v>1.6400000000000001E-2</v>
      </c>
      <c r="K5" s="4">
        <v>2.8899999999999999E-2</v>
      </c>
      <c r="L5" s="4">
        <v>4.65E-2</v>
      </c>
      <c r="M5" s="4">
        <v>0.27879999999999999</v>
      </c>
      <c r="N5" s="4">
        <v>0.28670000000000001</v>
      </c>
      <c r="O5" s="4">
        <v>0.2878</v>
      </c>
    </row>
    <row r="6" spans="1:15" x14ac:dyDescent="0.15">
      <c r="A6" s="16"/>
      <c r="B6" s="17"/>
      <c r="C6" s="2" t="s">
        <v>5</v>
      </c>
      <c r="D6" s="4">
        <v>-1.77E-2</v>
      </c>
      <c r="E6" s="4">
        <v>-8.0999999999999996E-3</v>
      </c>
      <c r="F6" s="4">
        <v>-6.0000000000000097E-3</v>
      </c>
      <c r="G6" s="4">
        <v>1.8E-3</v>
      </c>
      <c r="H6" s="4">
        <v>9.7999999999999893E-3</v>
      </c>
      <c r="I6" s="4">
        <v>3.3500000000000002E-2</v>
      </c>
      <c r="J6" s="4">
        <v>3.5799999999999998E-2</v>
      </c>
      <c r="K6" s="4">
        <v>3.1699999999999999E-2</v>
      </c>
      <c r="L6" s="4">
        <v>5.6000000000000001E-2</v>
      </c>
      <c r="M6" s="4">
        <v>6.0600000000000001E-2</v>
      </c>
      <c r="N6" s="4">
        <v>9.1899999999999996E-2</v>
      </c>
      <c r="O6" s="4">
        <v>0.17780000000000001</v>
      </c>
    </row>
    <row r="7" spans="1:15" x14ac:dyDescent="0.15">
      <c r="A7" s="16"/>
      <c r="B7" s="17"/>
      <c r="C7" s="2" t="s">
        <v>6</v>
      </c>
      <c r="D7" s="4">
        <v>6.3999999999999899E-3</v>
      </c>
      <c r="E7" s="4">
        <v>1.17E-2</v>
      </c>
      <c r="F7" s="4">
        <v>1.15E-2</v>
      </c>
      <c r="G7" s="4">
        <v>1.7000000000000001E-2</v>
      </c>
      <c r="H7" s="4">
        <v>2.0400000000000001E-2</v>
      </c>
      <c r="I7" s="4">
        <v>1.03E-2</v>
      </c>
      <c r="J7" s="4">
        <v>7.7999999999999996E-3</v>
      </c>
      <c r="K7" s="4">
        <v>2.3300000000000001E-2</v>
      </c>
      <c r="L7" s="4">
        <v>5.6099999999999997E-2</v>
      </c>
      <c r="M7" s="4">
        <v>0.23849999999999999</v>
      </c>
      <c r="N7" s="4">
        <v>0.28199999999999997</v>
      </c>
      <c r="O7" s="4">
        <v>0.21970000000000001</v>
      </c>
    </row>
    <row r="8" spans="1:15" x14ac:dyDescent="0.15">
      <c r="A8" s="16"/>
      <c r="B8" s="17"/>
      <c r="C8" s="2" t="s">
        <v>7</v>
      </c>
      <c r="D8" s="4">
        <v>9.7999999999999893E-3</v>
      </c>
      <c r="E8" s="4">
        <v>5.2299999999999999E-2</v>
      </c>
      <c r="F8" s="4">
        <v>3.7100000000000001E-2</v>
      </c>
      <c r="G8" s="4">
        <v>3.56E-2</v>
      </c>
      <c r="H8" s="4">
        <v>4.7399999999999998E-2</v>
      </c>
      <c r="I8" s="4">
        <v>4.4499999999999998E-2</v>
      </c>
      <c r="J8" s="4">
        <v>3.7199999999999997E-2</v>
      </c>
      <c r="K8" s="4">
        <v>3.73E-2</v>
      </c>
      <c r="L8" s="4">
        <v>5.3400000000000003E-2</v>
      </c>
      <c r="M8" s="4">
        <v>6.6600000000000006E-2</v>
      </c>
      <c r="N8" s="4">
        <v>0.11210000000000001</v>
      </c>
      <c r="O8" s="4">
        <v>0.21659999999999999</v>
      </c>
    </row>
    <row r="9" spans="1:15" x14ac:dyDescent="0.15">
      <c r="A9" s="16"/>
      <c r="B9" s="17"/>
      <c r="C9" s="2" t="s">
        <v>8</v>
      </c>
      <c r="D9" s="4">
        <v>0</v>
      </c>
      <c r="E9" s="4">
        <v>1.3899999999999999E-2</v>
      </c>
      <c r="F9" s="4">
        <v>1.32E-2</v>
      </c>
      <c r="G9" s="4">
        <v>2.3300000000000001E-2</v>
      </c>
      <c r="H9" s="4">
        <v>4.2700000000000002E-2</v>
      </c>
      <c r="I9" s="4">
        <v>3.39E-2</v>
      </c>
      <c r="J9" s="4">
        <v>3.5900000000000001E-2</v>
      </c>
      <c r="K9" s="4">
        <v>3.3599999999999998E-2</v>
      </c>
      <c r="L9" s="4">
        <v>4.36E-2</v>
      </c>
      <c r="M9" s="4">
        <v>7.1199999999999999E-2</v>
      </c>
      <c r="N9" s="4">
        <v>9.9400000000000002E-2</v>
      </c>
      <c r="O9" s="4">
        <v>0.23930000000000001</v>
      </c>
    </row>
    <row r="10" spans="1:15" x14ac:dyDescent="0.15">
      <c r="A10" s="16"/>
      <c r="B10" s="17"/>
      <c r="C10" s="2" t="s">
        <v>9</v>
      </c>
      <c r="D10" s="4">
        <v>7.1499999999999994E-2</v>
      </c>
      <c r="E10" s="4">
        <v>6.6299999999999998E-2</v>
      </c>
      <c r="F10" s="4">
        <v>7.1900000000000006E-2</v>
      </c>
      <c r="G10" s="4">
        <v>8.3400000000000002E-2</v>
      </c>
      <c r="H10" s="4">
        <v>7.22E-2</v>
      </c>
      <c r="I10" s="4">
        <v>5.6500000000000002E-2</v>
      </c>
      <c r="J10" s="4">
        <v>3.6200000000000003E-2</v>
      </c>
      <c r="K10" s="4">
        <v>1.7299999999999999E-2</v>
      </c>
      <c r="L10" s="4">
        <v>2.3400000000000001E-2</v>
      </c>
      <c r="M10" s="4">
        <v>1.4E-2</v>
      </c>
      <c r="N10" s="4">
        <v>1.15E-2</v>
      </c>
      <c r="O10" s="4">
        <v>0.24629999999999999</v>
      </c>
    </row>
    <row r="11" spans="1:15" x14ac:dyDescent="0.15">
      <c r="A11" s="16"/>
      <c r="B11" s="18">
        <v>2</v>
      </c>
      <c r="C11" s="2" t="s">
        <v>22</v>
      </c>
      <c r="D11" s="8">
        <v>1</v>
      </c>
      <c r="E11" s="8">
        <v>2</v>
      </c>
      <c r="F11" s="8">
        <v>3</v>
      </c>
      <c r="G11" s="8">
        <v>4</v>
      </c>
      <c r="H11" s="8">
        <v>5</v>
      </c>
      <c r="I11" s="8">
        <v>6</v>
      </c>
      <c r="J11" s="8">
        <v>7</v>
      </c>
      <c r="K11" s="8">
        <v>8</v>
      </c>
      <c r="L11" s="8">
        <v>9</v>
      </c>
      <c r="M11" s="8">
        <v>10</v>
      </c>
      <c r="N11" s="8">
        <v>11</v>
      </c>
      <c r="O11" s="8">
        <v>12</v>
      </c>
    </row>
    <row r="12" spans="1:15" x14ac:dyDescent="0.15">
      <c r="A12" s="16"/>
      <c r="B12" s="18"/>
      <c r="C12" s="7" t="s">
        <v>1</v>
      </c>
      <c r="D12" s="9">
        <v>6.4699999999999994E-2</v>
      </c>
      <c r="E12" s="9">
        <v>6.2700000000000006E-2</v>
      </c>
      <c r="F12" s="9">
        <v>6.4500000000000002E-2</v>
      </c>
      <c r="G12" s="9">
        <v>7.0800000000000002E-2</v>
      </c>
      <c r="H12" s="9">
        <v>7.8E-2</v>
      </c>
      <c r="I12" s="9">
        <v>8.4500000000000006E-2</v>
      </c>
      <c r="J12" s="9">
        <v>0.108</v>
      </c>
      <c r="K12" s="9">
        <v>0.1288</v>
      </c>
      <c r="L12" s="9">
        <v>0.22070000000000001</v>
      </c>
      <c r="M12" s="9">
        <v>0.36409999999999998</v>
      </c>
      <c r="N12" s="9">
        <v>0.40410000000000001</v>
      </c>
      <c r="O12" s="9">
        <v>0.28860000000000002</v>
      </c>
    </row>
    <row r="13" spans="1:15" x14ac:dyDescent="0.15">
      <c r="A13" s="16"/>
      <c r="B13" s="18"/>
      <c r="C13" s="7" t="s">
        <v>3</v>
      </c>
      <c r="D13" s="9">
        <v>0.10489999999999999</v>
      </c>
      <c r="E13" s="9">
        <v>0.11070000000000001</v>
      </c>
      <c r="F13" s="9">
        <v>0.1174</v>
      </c>
      <c r="G13" s="9">
        <v>0.11700000000000001</v>
      </c>
      <c r="H13" s="9">
        <v>0.1205</v>
      </c>
      <c r="I13" s="9">
        <v>9.8799999999999999E-2</v>
      </c>
      <c r="J13" s="9">
        <v>0.09</v>
      </c>
      <c r="K13" s="9">
        <v>7.6799999999999993E-2</v>
      </c>
      <c r="L13" s="9">
        <v>9.0700000000000003E-2</v>
      </c>
      <c r="M13" s="9">
        <v>8.1699999999999995E-2</v>
      </c>
      <c r="N13" s="9">
        <v>9.1999999999999998E-2</v>
      </c>
      <c r="O13" s="9">
        <v>0.28860000000000002</v>
      </c>
    </row>
    <row r="14" spans="1:15" x14ac:dyDescent="0.15">
      <c r="A14" s="16"/>
      <c r="B14" s="18"/>
      <c r="C14" s="7" t="s">
        <v>4</v>
      </c>
      <c r="D14" s="9">
        <v>6.2100000000000002E-2</v>
      </c>
      <c r="E14" s="9">
        <v>7.6999999999999999E-2</v>
      </c>
      <c r="F14" s="9">
        <v>0.1003</v>
      </c>
      <c r="G14" s="9">
        <v>0.1027</v>
      </c>
      <c r="H14" s="9">
        <v>0.1103</v>
      </c>
      <c r="I14" s="9">
        <v>0.10009999999999999</v>
      </c>
      <c r="J14" s="9">
        <v>8.4599999999999995E-2</v>
      </c>
      <c r="K14" s="9">
        <v>9.7500000000000003E-2</v>
      </c>
      <c r="L14" s="9">
        <v>0.1143</v>
      </c>
      <c r="M14" s="9">
        <v>0.3528</v>
      </c>
      <c r="N14" s="9">
        <v>0.36449999999999999</v>
      </c>
      <c r="O14" s="9">
        <v>0.32500000000000001</v>
      </c>
    </row>
    <row r="15" spans="1:15" x14ac:dyDescent="0.15">
      <c r="A15" s="16"/>
      <c r="B15" s="18"/>
      <c r="C15" s="7" t="s">
        <v>5</v>
      </c>
      <c r="D15" s="9">
        <v>5.4699999999999999E-2</v>
      </c>
      <c r="E15" s="9">
        <v>5.7700000000000001E-2</v>
      </c>
      <c r="F15" s="9">
        <v>6.4100000000000004E-2</v>
      </c>
      <c r="G15" s="9">
        <v>7.0599999999999996E-2</v>
      </c>
      <c r="H15" s="9">
        <v>7.9200000000000007E-2</v>
      </c>
      <c r="I15" s="9">
        <v>0.104</v>
      </c>
      <c r="J15" s="9">
        <v>0.1053</v>
      </c>
      <c r="K15" s="9">
        <v>0.1014</v>
      </c>
      <c r="L15" s="9">
        <v>0.12590000000000001</v>
      </c>
      <c r="M15" s="9">
        <v>0.12889999999999999</v>
      </c>
      <c r="N15" s="9">
        <v>0.16009999999999999</v>
      </c>
      <c r="O15" s="9">
        <v>0.25719999999999998</v>
      </c>
    </row>
    <row r="16" spans="1:15" x14ac:dyDescent="0.15">
      <c r="A16" s="16"/>
      <c r="B16" s="18"/>
      <c r="C16" s="7" t="s">
        <v>6</v>
      </c>
      <c r="D16" s="9">
        <v>7.6499999999999999E-2</v>
      </c>
      <c r="E16" s="9">
        <v>8.1000000000000003E-2</v>
      </c>
      <c r="F16" s="9">
        <v>8.2799999999999999E-2</v>
      </c>
      <c r="G16" s="9">
        <v>8.6699999999999999E-2</v>
      </c>
      <c r="H16" s="9">
        <v>8.9099999999999999E-2</v>
      </c>
      <c r="I16" s="9">
        <v>7.8899999999999998E-2</v>
      </c>
      <c r="J16" s="9">
        <v>7.5899999999999995E-2</v>
      </c>
      <c r="K16" s="9">
        <v>9.1300000000000006E-2</v>
      </c>
      <c r="L16" s="9">
        <v>0.1234</v>
      </c>
      <c r="M16" s="9">
        <v>0.30830000000000002</v>
      </c>
      <c r="N16" s="9">
        <v>0.3528</v>
      </c>
      <c r="O16" s="9">
        <v>0.31269999999999998</v>
      </c>
    </row>
    <row r="17" spans="1:15" x14ac:dyDescent="0.15">
      <c r="A17" s="16"/>
      <c r="B17" s="18"/>
      <c r="C17" s="7" t="s">
        <v>7</v>
      </c>
      <c r="D17" s="9">
        <v>8.43E-2</v>
      </c>
      <c r="E17" s="9">
        <v>0.1195</v>
      </c>
      <c r="F17" s="9">
        <v>0.1056</v>
      </c>
      <c r="G17" s="9">
        <v>0.1051</v>
      </c>
      <c r="H17" s="9">
        <v>0.1157</v>
      </c>
      <c r="I17" s="9">
        <v>0.1137</v>
      </c>
      <c r="J17" s="9">
        <v>0.1052</v>
      </c>
      <c r="K17" s="9">
        <v>0.1069</v>
      </c>
      <c r="L17" s="9">
        <v>0.123</v>
      </c>
      <c r="M17" s="9">
        <v>0.1346</v>
      </c>
      <c r="N17" s="9">
        <v>0.17979999999999999</v>
      </c>
      <c r="O17" s="9">
        <v>0.29749999999999999</v>
      </c>
    </row>
    <row r="18" spans="1:15" x14ac:dyDescent="0.15">
      <c r="A18" s="16"/>
      <c r="B18" s="18"/>
      <c r="C18" s="7" t="s">
        <v>8</v>
      </c>
      <c r="D18" s="9">
        <v>6.8000000000000005E-2</v>
      </c>
      <c r="E18" s="9">
        <v>8.1199999999999994E-2</v>
      </c>
      <c r="F18" s="9">
        <v>8.7900000000000006E-2</v>
      </c>
      <c r="G18" s="9">
        <v>9.5699999999999993E-2</v>
      </c>
      <c r="H18" s="9">
        <v>0.1101</v>
      </c>
      <c r="I18" s="9">
        <v>0.1048</v>
      </c>
      <c r="J18" s="9">
        <v>0.1032</v>
      </c>
      <c r="K18" s="9">
        <v>0.10489999999999999</v>
      </c>
      <c r="L18" s="9">
        <v>0.1154</v>
      </c>
      <c r="M18" s="9">
        <v>0.1404</v>
      </c>
      <c r="N18" s="9">
        <v>0.16880000000000001</v>
      </c>
      <c r="O18" s="9">
        <v>0.2893</v>
      </c>
    </row>
    <row r="19" spans="1:15" x14ac:dyDescent="0.15">
      <c r="A19" s="16"/>
      <c r="B19" s="18"/>
      <c r="C19" s="7" t="s">
        <v>9</v>
      </c>
      <c r="D19" s="9">
        <v>0.1492</v>
      </c>
      <c r="E19" s="9">
        <v>0.14929999999999999</v>
      </c>
      <c r="F19" s="9">
        <v>0.15190000000000001</v>
      </c>
      <c r="G19" s="9">
        <v>0.16120000000000001</v>
      </c>
      <c r="H19" s="9">
        <v>0.14760000000000001</v>
      </c>
      <c r="I19" s="9">
        <v>0.12859999999999999</v>
      </c>
      <c r="J19" s="9">
        <v>0.108</v>
      </c>
      <c r="K19" s="9">
        <v>8.3199999999999996E-2</v>
      </c>
      <c r="L19" s="9">
        <v>9.1899999999999996E-2</v>
      </c>
      <c r="M19" s="9">
        <v>8.2100000000000006E-2</v>
      </c>
      <c r="N19" s="9">
        <v>7.9500000000000001E-2</v>
      </c>
      <c r="O19" s="9">
        <v>0.2964</v>
      </c>
    </row>
    <row r="20" spans="1:15" x14ac:dyDescent="0.15">
      <c r="A20" s="16" t="s">
        <v>19</v>
      </c>
      <c r="B20" s="17">
        <v>1</v>
      </c>
      <c r="C20" s="2" t="s">
        <v>22</v>
      </c>
      <c r="D20" s="1">
        <v>1</v>
      </c>
      <c r="E20" s="1">
        <v>2</v>
      </c>
      <c r="F20" s="1">
        <v>3</v>
      </c>
      <c r="G20" s="1">
        <v>4</v>
      </c>
      <c r="H20" s="1">
        <v>5</v>
      </c>
      <c r="I20" s="1">
        <v>6</v>
      </c>
      <c r="J20" s="1">
        <v>7</v>
      </c>
      <c r="K20" s="1">
        <v>8</v>
      </c>
      <c r="L20" s="1">
        <v>9</v>
      </c>
      <c r="M20" s="1">
        <v>10</v>
      </c>
      <c r="N20" s="1">
        <v>11</v>
      </c>
      <c r="O20" s="1">
        <v>12</v>
      </c>
    </row>
    <row r="21" spans="1:15" x14ac:dyDescent="0.15">
      <c r="A21" s="16"/>
      <c r="B21" s="17"/>
      <c r="C21" s="2" t="s">
        <v>1</v>
      </c>
      <c r="D21" s="4">
        <v>6.9099999999999995E-2</v>
      </c>
      <c r="E21" s="4">
        <v>6.6699999999999995E-2</v>
      </c>
      <c r="F21" s="4">
        <v>6.6199999999999995E-2</v>
      </c>
      <c r="G21" s="4">
        <v>6.2E-2</v>
      </c>
      <c r="H21" s="4">
        <v>7.3099999999999998E-2</v>
      </c>
      <c r="I21" s="4">
        <v>0.1036</v>
      </c>
      <c r="J21" s="4">
        <v>0.1002</v>
      </c>
      <c r="K21" s="4">
        <v>0.13070000000000001</v>
      </c>
      <c r="L21" s="4">
        <v>0.16930000000000001</v>
      </c>
      <c r="M21" s="4">
        <v>0.21310000000000001</v>
      </c>
      <c r="N21" s="4">
        <v>0.23619999999999999</v>
      </c>
      <c r="O21" s="4">
        <v>0.4703</v>
      </c>
    </row>
    <row r="22" spans="1:15" x14ac:dyDescent="0.15">
      <c r="A22" s="16"/>
      <c r="B22" s="17"/>
      <c r="C22" s="2" t="s">
        <v>3</v>
      </c>
      <c r="D22" s="4">
        <v>0.11310000000000001</v>
      </c>
      <c r="E22" s="4">
        <v>0.12820000000000001</v>
      </c>
      <c r="F22" s="4">
        <v>0.14460000000000001</v>
      </c>
      <c r="G22" s="4">
        <v>0.1298</v>
      </c>
      <c r="H22" s="4">
        <v>0.15429999999999999</v>
      </c>
      <c r="I22" s="4">
        <v>0.1741</v>
      </c>
      <c r="J22" s="4">
        <v>0.10630000000000001</v>
      </c>
      <c r="K22" s="4">
        <v>0.1053</v>
      </c>
      <c r="L22" s="4">
        <v>9.9699999999999997E-2</v>
      </c>
      <c r="M22" s="4">
        <v>9.1200000000000003E-2</v>
      </c>
      <c r="N22" s="4">
        <v>8.77E-2</v>
      </c>
      <c r="O22" s="4">
        <v>0.46250000000000002</v>
      </c>
    </row>
    <row r="23" spans="1:15" x14ac:dyDescent="0.15">
      <c r="A23" s="16"/>
      <c r="B23" s="17"/>
      <c r="C23" s="2" t="s">
        <v>4</v>
      </c>
      <c r="D23" s="4">
        <v>0.1004</v>
      </c>
      <c r="E23" s="4">
        <v>0.16450000000000001</v>
      </c>
      <c r="F23" s="4">
        <v>0.16869999999999999</v>
      </c>
      <c r="G23" s="4">
        <v>0.12609999999999999</v>
      </c>
      <c r="H23" s="4">
        <v>0.115</v>
      </c>
      <c r="I23" s="4">
        <v>0.1694</v>
      </c>
      <c r="J23" s="4">
        <v>9.9400000000000002E-2</v>
      </c>
      <c r="K23" s="4">
        <v>9.5299999999999996E-2</v>
      </c>
      <c r="L23" s="4">
        <v>9.8400000000000001E-2</v>
      </c>
      <c r="M23" s="4">
        <v>9.6699999999999994E-2</v>
      </c>
      <c r="N23" s="4">
        <v>9.7600000000000006E-2</v>
      </c>
      <c r="O23" s="4">
        <v>0.43880000000000002</v>
      </c>
    </row>
    <row r="24" spans="1:15" x14ac:dyDescent="0.15">
      <c r="A24" s="16"/>
      <c r="B24" s="17"/>
      <c r="C24" s="2" t="s">
        <v>5</v>
      </c>
      <c r="D24" s="4">
        <v>6.93E-2</v>
      </c>
      <c r="E24" s="4">
        <v>6.9400000000000003E-2</v>
      </c>
      <c r="F24" s="4">
        <v>6.8500000000000005E-2</v>
      </c>
      <c r="G24" s="4">
        <v>7.9799999999999996E-2</v>
      </c>
      <c r="H24" s="4">
        <v>8.7099999999999997E-2</v>
      </c>
      <c r="I24" s="4">
        <v>0.12509999999999999</v>
      </c>
      <c r="J24" s="4">
        <v>0.11559999999999999</v>
      </c>
      <c r="K24" s="4">
        <v>9.4200000000000006E-2</v>
      </c>
      <c r="L24" s="4">
        <v>0.12959999999999999</v>
      </c>
      <c r="M24" s="4">
        <v>0.35599999999999998</v>
      </c>
      <c r="N24" s="4">
        <v>0.39589999999999997</v>
      </c>
      <c r="O24" s="4">
        <v>0.52869999999999995</v>
      </c>
    </row>
    <row r="25" spans="1:15" x14ac:dyDescent="0.15">
      <c r="A25" s="16"/>
      <c r="B25" s="17"/>
      <c r="C25" s="2" t="s">
        <v>6</v>
      </c>
      <c r="D25" s="4">
        <v>8.1799999999999998E-2</v>
      </c>
      <c r="E25" s="4">
        <v>9.7000000000000003E-2</v>
      </c>
      <c r="F25" s="4">
        <v>9.9900000000000003E-2</v>
      </c>
      <c r="G25" s="4">
        <v>0.10580000000000001</v>
      </c>
      <c r="H25" s="4">
        <v>0.1028</v>
      </c>
      <c r="I25" s="4">
        <v>0.17269999999999999</v>
      </c>
      <c r="J25" s="4">
        <v>0.15609999999999999</v>
      </c>
      <c r="K25" s="4">
        <v>0.1792</v>
      </c>
      <c r="L25" s="4">
        <v>0.2535</v>
      </c>
      <c r="M25" s="4">
        <v>0.40079999999999999</v>
      </c>
      <c r="N25" s="4">
        <v>0.4783</v>
      </c>
      <c r="O25" s="4">
        <v>0.49569999999999997</v>
      </c>
    </row>
    <row r="26" spans="1:15" x14ac:dyDescent="0.15">
      <c r="A26" s="16"/>
      <c r="B26" s="17"/>
      <c r="C26" s="2" t="s">
        <v>7</v>
      </c>
      <c r="D26" s="4">
        <v>0.1079</v>
      </c>
      <c r="E26" s="4">
        <v>0.1014</v>
      </c>
      <c r="F26" s="4">
        <v>9.8400000000000001E-2</v>
      </c>
      <c r="G26" s="4">
        <v>0.109</v>
      </c>
      <c r="H26" s="4">
        <v>0.1114</v>
      </c>
      <c r="I26" s="4">
        <v>0.2165</v>
      </c>
      <c r="J26" s="4">
        <v>0.14779999999999999</v>
      </c>
      <c r="K26" s="4">
        <v>0.154</v>
      </c>
      <c r="L26" s="4">
        <v>0.16139999999999999</v>
      </c>
      <c r="M26" s="4">
        <v>0.15939999999999999</v>
      </c>
      <c r="N26" s="4">
        <v>0.12939999999999999</v>
      </c>
      <c r="O26" s="4">
        <v>0.3584</v>
      </c>
    </row>
    <row r="27" spans="1:15" x14ac:dyDescent="0.15">
      <c r="A27" s="16"/>
      <c r="B27" s="17"/>
      <c r="C27" s="2" t="s">
        <v>8</v>
      </c>
      <c r="D27" s="4">
        <v>9.4299999999999995E-2</v>
      </c>
      <c r="E27" s="4">
        <v>9.6799999999999997E-2</v>
      </c>
      <c r="F27" s="4">
        <v>0.1038</v>
      </c>
      <c r="G27" s="4">
        <v>0.1082</v>
      </c>
      <c r="H27" s="4">
        <v>0.11070000000000001</v>
      </c>
      <c r="I27" s="4">
        <v>0.1736</v>
      </c>
      <c r="J27" s="4">
        <v>0.1236</v>
      </c>
      <c r="K27" s="4">
        <v>0.15670000000000001</v>
      </c>
      <c r="L27" s="4">
        <v>0.1638</v>
      </c>
      <c r="M27" s="4">
        <v>0.12889999999999999</v>
      </c>
      <c r="N27" s="4">
        <v>0.30990000000000001</v>
      </c>
      <c r="O27" s="4">
        <v>0.48620000000000002</v>
      </c>
    </row>
    <row r="28" spans="1:15" x14ac:dyDescent="0.15">
      <c r="A28" s="16"/>
      <c r="B28" s="17"/>
      <c r="C28" s="2" t="s">
        <v>9</v>
      </c>
      <c r="D28" s="4">
        <v>0.1159</v>
      </c>
      <c r="E28" s="4">
        <v>0.1285</v>
      </c>
      <c r="F28" s="4">
        <v>0.13650000000000001</v>
      </c>
      <c r="G28" s="4">
        <v>0.13650000000000001</v>
      </c>
      <c r="H28" s="4">
        <v>0.13469999999999999</v>
      </c>
      <c r="I28" s="4">
        <v>0.20280000000000001</v>
      </c>
      <c r="J28" s="4">
        <v>0.15010000000000001</v>
      </c>
      <c r="K28" s="4">
        <v>9.6799999999999997E-2</v>
      </c>
      <c r="L28" s="4">
        <v>9.3399999999999997E-2</v>
      </c>
      <c r="M28" s="4">
        <v>9.2100000000000001E-2</v>
      </c>
      <c r="N28" s="4">
        <v>8.7499999999999994E-2</v>
      </c>
      <c r="O28" s="4">
        <v>0.4365</v>
      </c>
    </row>
    <row r="29" spans="1:15" x14ac:dyDescent="0.15">
      <c r="A29" s="16"/>
      <c r="B29" s="18">
        <v>2</v>
      </c>
      <c r="C29" s="2" t="s">
        <v>22</v>
      </c>
      <c r="D29" s="8">
        <v>1</v>
      </c>
      <c r="E29" s="8">
        <v>2</v>
      </c>
      <c r="F29" s="8">
        <v>3</v>
      </c>
      <c r="G29" s="8">
        <v>4</v>
      </c>
      <c r="H29" s="8">
        <v>5</v>
      </c>
      <c r="I29" s="8">
        <v>6</v>
      </c>
      <c r="J29" s="8">
        <v>7</v>
      </c>
      <c r="K29" s="8">
        <v>8</v>
      </c>
      <c r="L29" s="8">
        <v>9</v>
      </c>
      <c r="M29" s="8">
        <v>10</v>
      </c>
      <c r="N29" s="8">
        <v>11</v>
      </c>
      <c r="O29" s="8">
        <v>12</v>
      </c>
    </row>
    <row r="30" spans="1:15" x14ac:dyDescent="0.15">
      <c r="A30" s="16"/>
      <c r="B30" s="18"/>
      <c r="C30" s="7" t="s">
        <v>1</v>
      </c>
      <c r="D30" s="4">
        <v>6.8500000000000005E-2</v>
      </c>
      <c r="E30" s="4">
        <v>6.8000000000000005E-2</v>
      </c>
      <c r="F30" s="4">
        <v>6.7900000000000002E-2</v>
      </c>
      <c r="G30" s="4">
        <v>6.3E-2</v>
      </c>
      <c r="H30" s="4">
        <v>7.4300000000000005E-2</v>
      </c>
      <c r="I30" s="4">
        <v>0.10299999999999999</v>
      </c>
      <c r="J30" s="4">
        <v>0.1003</v>
      </c>
      <c r="K30" s="4">
        <v>0.1303</v>
      </c>
      <c r="L30" s="4">
        <v>0.1726</v>
      </c>
      <c r="M30" s="4">
        <v>0.214</v>
      </c>
      <c r="N30" s="4">
        <v>0.2374</v>
      </c>
      <c r="O30" s="4">
        <v>0.47749999999999998</v>
      </c>
    </row>
    <row r="31" spans="1:15" x14ac:dyDescent="0.15">
      <c r="A31" s="16"/>
      <c r="B31" s="18"/>
      <c r="C31" s="7" t="s">
        <v>3</v>
      </c>
      <c r="D31" s="4">
        <v>0.1139</v>
      </c>
      <c r="E31" s="4">
        <v>0.12790000000000001</v>
      </c>
      <c r="F31" s="4">
        <v>0.1454</v>
      </c>
      <c r="G31" s="4">
        <v>0.13469999999999999</v>
      </c>
      <c r="H31" s="4">
        <v>0.15939999999999999</v>
      </c>
      <c r="I31" s="4">
        <v>0.82389999999999997</v>
      </c>
      <c r="J31" s="4">
        <v>0.1079</v>
      </c>
      <c r="K31" s="4">
        <v>0.10539999999999999</v>
      </c>
      <c r="L31" s="4">
        <v>9.9099999999999994E-2</v>
      </c>
      <c r="M31" s="4">
        <v>9.0999999999999998E-2</v>
      </c>
      <c r="N31" s="4">
        <v>8.7599999999999997E-2</v>
      </c>
      <c r="O31" s="4">
        <v>0.4975</v>
      </c>
    </row>
    <row r="32" spans="1:15" x14ac:dyDescent="0.15">
      <c r="A32" s="16"/>
      <c r="B32" s="18"/>
      <c r="C32" s="7" t="s">
        <v>4</v>
      </c>
      <c r="D32" s="4">
        <v>0.1031</v>
      </c>
      <c r="E32" s="4">
        <v>0.1762</v>
      </c>
      <c r="F32" s="4">
        <v>0.18090000000000001</v>
      </c>
      <c r="G32" s="4">
        <v>0.12989999999999999</v>
      </c>
      <c r="H32" s="4">
        <v>0.1153</v>
      </c>
      <c r="I32" s="4">
        <v>0.16889999999999999</v>
      </c>
      <c r="J32" s="4">
        <v>9.9599999999999994E-2</v>
      </c>
      <c r="K32" s="4">
        <v>9.5799999999999996E-2</v>
      </c>
      <c r="L32" s="4">
        <v>9.8599999999999993E-2</v>
      </c>
      <c r="M32" s="4">
        <v>9.6699999999999994E-2</v>
      </c>
      <c r="N32" s="4">
        <v>9.74E-2</v>
      </c>
      <c r="O32" s="4">
        <v>0.45400000000000001</v>
      </c>
    </row>
    <row r="33" spans="1:15" x14ac:dyDescent="0.15">
      <c r="A33" s="16"/>
      <c r="B33" s="18"/>
      <c r="C33" s="7" t="s">
        <v>5</v>
      </c>
      <c r="D33" s="4">
        <v>7.5999999999999998E-2</v>
      </c>
      <c r="E33" s="4">
        <v>6.8599999999999994E-2</v>
      </c>
      <c r="F33" s="4">
        <v>6.9199999999999998E-2</v>
      </c>
      <c r="G33" s="4">
        <v>7.9600000000000004E-2</v>
      </c>
      <c r="H33" s="4">
        <v>8.72E-2</v>
      </c>
      <c r="I33" s="4">
        <v>0.125</v>
      </c>
      <c r="J33" s="4">
        <v>0.1157</v>
      </c>
      <c r="K33" s="4">
        <v>9.6299999999999997E-2</v>
      </c>
      <c r="L33" s="4">
        <v>0.13</v>
      </c>
      <c r="M33" s="4">
        <v>0.36919999999999997</v>
      </c>
      <c r="N33" s="4">
        <v>0.42020000000000002</v>
      </c>
      <c r="O33" s="4">
        <v>0.57430000000000003</v>
      </c>
    </row>
    <row r="34" spans="1:15" x14ac:dyDescent="0.15">
      <c r="A34" s="16"/>
      <c r="B34" s="18"/>
      <c r="C34" s="7" t="s">
        <v>6</v>
      </c>
      <c r="D34" s="4">
        <v>8.14E-2</v>
      </c>
      <c r="E34" s="4">
        <v>9.7100000000000006E-2</v>
      </c>
      <c r="F34" s="4">
        <v>9.9599999999999994E-2</v>
      </c>
      <c r="G34" s="4">
        <v>0.1057</v>
      </c>
      <c r="H34" s="4">
        <v>0.1037</v>
      </c>
      <c r="I34" s="4">
        <v>0.17230000000000001</v>
      </c>
      <c r="J34" s="4">
        <v>0.15790000000000001</v>
      </c>
      <c r="K34" s="4">
        <v>0.1782</v>
      </c>
      <c r="L34" s="4">
        <v>0.26569999999999999</v>
      </c>
      <c r="M34" s="4">
        <v>0.42130000000000001</v>
      </c>
      <c r="N34" s="4">
        <v>0.48130000000000001</v>
      </c>
      <c r="O34" s="4">
        <v>0.58509999999999995</v>
      </c>
    </row>
    <row r="35" spans="1:15" x14ac:dyDescent="0.15">
      <c r="A35" s="16"/>
      <c r="B35" s="18"/>
      <c r="C35" s="7" t="s">
        <v>7</v>
      </c>
      <c r="D35" s="4">
        <v>0.113</v>
      </c>
      <c r="E35" s="4">
        <v>0.10050000000000001</v>
      </c>
      <c r="F35" s="4">
        <v>9.9599999999999994E-2</v>
      </c>
      <c r="G35" s="4">
        <v>0.11020000000000001</v>
      </c>
      <c r="H35" s="4">
        <v>0.1114</v>
      </c>
      <c r="I35" s="4">
        <v>0.21429999999999999</v>
      </c>
      <c r="J35" s="4">
        <v>0.14630000000000001</v>
      </c>
      <c r="K35" s="4">
        <v>0.15229999999999999</v>
      </c>
      <c r="L35" s="4">
        <v>0.15920000000000001</v>
      </c>
      <c r="M35" s="4">
        <v>0.15620000000000001</v>
      </c>
      <c r="N35" s="4">
        <v>0.12989999999999999</v>
      </c>
      <c r="O35" s="4">
        <v>0.374</v>
      </c>
    </row>
    <row r="36" spans="1:15" x14ac:dyDescent="0.15">
      <c r="A36" s="16"/>
      <c r="B36" s="18"/>
      <c r="C36" s="7" t="s">
        <v>8</v>
      </c>
      <c r="D36" s="4">
        <v>9.5699999999999993E-2</v>
      </c>
      <c r="E36" s="4">
        <v>9.9500000000000005E-2</v>
      </c>
      <c r="F36" s="4">
        <v>0.10340000000000001</v>
      </c>
      <c r="G36" s="4">
        <v>0.1077</v>
      </c>
      <c r="H36" s="4">
        <v>0.1091</v>
      </c>
      <c r="I36" s="4">
        <v>0.16969999999999999</v>
      </c>
      <c r="J36" s="4">
        <v>0.1203</v>
      </c>
      <c r="K36" s="4">
        <v>0.1535</v>
      </c>
      <c r="L36" s="4">
        <v>0.16209999999999999</v>
      </c>
      <c r="M36" s="4">
        <v>0.13139999999999999</v>
      </c>
      <c r="N36" s="4">
        <v>0.3286</v>
      </c>
      <c r="O36" s="4">
        <v>0.56610000000000005</v>
      </c>
    </row>
    <row r="37" spans="1:15" x14ac:dyDescent="0.15">
      <c r="A37" s="16"/>
      <c r="B37" s="18"/>
      <c r="C37" s="7" t="s">
        <v>9</v>
      </c>
      <c r="D37" s="4">
        <v>0.11840000000000001</v>
      </c>
      <c r="E37" s="4">
        <v>0.12970000000000001</v>
      </c>
      <c r="F37" s="4">
        <v>0.13700000000000001</v>
      </c>
      <c r="G37" s="4">
        <v>0.13689999999999999</v>
      </c>
      <c r="H37" s="4">
        <v>0.13719999999999999</v>
      </c>
      <c r="I37" s="4">
        <v>0.20069999999999999</v>
      </c>
      <c r="J37" s="4">
        <v>0.14960000000000001</v>
      </c>
      <c r="K37" s="4">
        <v>9.74E-2</v>
      </c>
      <c r="L37" s="4">
        <v>9.3200000000000005E-2</v>
      </c>
      <c r="M37" s="4">
        <v>9.1999999999999998E-2</v>
      </c>
      <c r="N37" s="4">
        <v>8.7400000000000005E-2</v>
      </c>
      <c r="O37" s="4">
        <v>0.45440000000000003</v>
      </c>
    </row>
    <row r="38" spans="1:15" x14ac:dyDescent="0.15">
      <c r="A38" s="16" t="s">
        <v>20</v>
      </c>
      <c r="B38" s="17">
        <v>1</v>
      </c>
      <c r="C38" s="2" t="s">
        <v>22</v>
      </c>
      <c r="D38" s="1">
        <v>1</v>
      </c>
      <c r="E38" s="1">
        <v>2</v>
      </c>
      <c r="F38" s="1">
        <v>3</v>
      </c>
      <c r="G38" s="1">
        <v>4</v>
      </c>
      <c r="H38" s="1">
        <v>5</v>
      </c>
      <c r="I38" s="1">
        <v>6</v>
      </c>
      <c r="J38" s="1">
        <v>7</v>
      </c>
      <c r="K38" s="1">
        <v>8</v>
      </c>
      <c r="L38" s="1">
        <v>9</v>
      </c>
      <c r="M38" s="1">
        <v>10</v>
      </c>
      <c r="N38" s="1">
        <v>11</v>
      </c>
      <c r="O38" s="1">
        <v>12</v>
      </c>
    </row>
    <row r="39" spans="1:15" x14ac:dyDescent="0.15">
      <c r="A39" s="16"/>
      <c r="B39" s="17"/>
      <c r="C39" s="2" t="s">
        <v>1</v>
      </c>
      <c r="D39" s="4">
        <v>0.1014</v>
      </c>
      <c r="E39" s="4">
        <v>8.0399999999999999E-2</v>
      </c>
      <c r="F39" s="4">
        <v>0.13270000000000001</v>
      </c>
      <c r="G39" s="4">
        <v>0.23369999999999999</v>
      </c>
      <c r="H39" s="4">
        <v>0.32279999999999998</v>
      </c>
      <c r="I39" s="4">
        <v>0.29909999999999998</v>
      </c>
      <c r="J39" s="4">
        <v>0.38740000000000002</v>
      </c>
      <c r="K39" s="4">
        <v>0.40489999999999998</v>
      </c>
      <c r="L39" s="4">
        <v>0.40260000000000001</v>
      </c>
      <c r="M39" s="4">
        <v>0.41880000000000001</v>
      </c>
      <c r="N39" s="4">
        <v>0.37559999999999999</v>
      </c>
      <c r="O39" s="4">
        <v>0.56850000000000001</v>
      </c>
    </row>
    <row r="40" spans="1:15" x14ac:dyDescent="0.15">
      <c r="A40" s="16"/>
      <c r="B40" s="17"/>
      <c r="C40" s="2" t="s">
        <v>3</v>
      </c>
      <c r="D40" s="4">
        <v>9.0200000000000002E-2</v>
      </c>
      <c r="E40" s="4">
        <v>8.4199999999999997E-2</v>
      </c>
      <c r="F40" s="4">
        <v>8.4900000000000003E-2</v>
      </c>
      <c r="G40" s="4">
        <v>7.4800000000000005E-2</v>
      </c>
      <c r="H40" s="4">
        <v>9.5200000000000007E-2</v>
      </c>
      <c r="I40" s="4">
        <v>8.3699999999999997E-2</v>
      </c>
      <c r="J40" s="4">
        <v>0.14510000000000001</v>
      </c>
      <c r="K40" s="4">
        <v>0.1623</v>
      </c>
      <c r="L40" s="4">
        <v>0.1976</v>
      </c>
      <c r="M40" s="4">
        <v>0.21679999999999999</v>
      </c>
      <c r="N40" s="4">
        <v>0.16070000000000001</v>
      </c>
      <c r="O40" s="4">
        <v>0.72450000000000003</v>
      </c>
    </row>
    <row r="41" spans="1:15" x14ac:dyDescent="0.15">
      <c r="A41" s="16"/>
      <c r="B41" s="17"/>
      <c r="C41" s="2" t="s">
        <v>4</v>
      </c>
      <c r="D41" s="4">
        <v>8.2199999999999995E-2</v>
      </c>
      <c r="E41" s="4">
        <v>9.9099999999999994E-2</v>
      </c>
      <c r="F41" s="4">
        <v>9.7900000000000001E-2</v>
      </c>
      <c r="G41" s="4">
        <v>7.4800000000000005E-2</v>
      </c>
      <c r="H41" s="4">
        <v>0.11650000000000001</v>
      </c>
      <c r="I41" s="4">
        <v>9.1300000000000006E-2</v>
      </c>
      <c r="J41" s="4">
        <v>9.7000000000000003E-2</v>
      </c>
      <c r="K41" s="4">
        <v>0.1605</v>
      </c>
      <c r="L41" s="4">
        <v>7.2499999999999995E-2</v>
      </c>
      <c r="M41" s="4">
        <v>0.1356</v>
      </c>
      <c r="N41" s="4">
        <v>0.14580000000000001</v>
      </c>
      <c r="O41" s="4">
        <v>0.7782</v>
      </c>
    </row>
    <row r="42" spans="1:15" x14ac:dyDescent="0.15">
      <c r="A42" s="16"/>
      <c r="B42" s="17"/>
      <c r="C42" s="2" t="s">
        <v>5</v>
      </c>
      <c r="D42" s="4">
        <v>6.6699999999999995E-2</v>
      </c>
      <c r="E42" s="4">
        <v>5.8400000000000001E-2</v>
      </c>
      <c r="F42" s="4">
        <v>8.14E-2</v>
      </c>
      <c r="G42" s="4">
        <v>8.4099999999999994E-2</v>
      </c>
      <c r="H42" s="4">
        <v>7.9699999999999993E-2</v>
      </c>
      <c r="I42" s="4">
        <v>8.7300000000000003E-2</v>
      </c>
      <c r="J42" s="4">
        <v>8.14E-2</v>
      </c>
      <c r="K42" s="4">
        <v>0.12670000000000001</v>
      </c>
      <c r="L42" s="4">
        <v>0.1205</v>
      </c>
      <c r="M42" s="4">
        <v>0.1016</v>
      </c>
      <c r="N42" s="4">
        <v>0.1135</v>
      </c>
      <c r="O42" s="4">
        <v>0.65910000000000002</v>
      </c>
    </row>
    <row r="43" spans="1:15" x14ac:dyDescent="0.15">
      <c r="A43" s="16"/>
      <c r="B43" s="17"/>
      <c r="C43" s="2" t="s">
        <v>6</v>
      </c>
      <c r="D43" s="4">
        <v>0.1013</v>
      </c>
      <c r="E43" s="4">
        <v>0.13089999999999999</v>
      </c>
      <c r="F43" s="4">
        <v>0.1157</v>
      </c>
      <c r="G43" s="4">
        <v>0.1298</v>
      </c>
      <c r="H43" s="4">
        <v>0.1234</v>
      </c>
      <c r="I43" s="4">
        <v>0.1288</v>
      </c>
      <c r="J43" s="4">
        <v>0.13700000000000001</v>
      </c>
      <c r="K43" s="4">
        <v>0.13</v>
      </c>
      <c r="L43" s="4">
        <v>0.1545</v>
      </c>
      <c r="M43" s="4">
        <v>0.1686</v>
      </c>
      <c r="N43" s="4">
        <v>0.14449999999999999</v>
      </c>
      <c r="O43" s="4">
        <v>0.73550000000000004</v>
      </c>
    </row>
    <row r="44" spans="1:15" x14ac:dyDescent="0.15">
      <c r="A44" s="16"/>
      <c r="B44" s="17"/>
      <c r="C44" s="2" t="s">
        <v>7</v>
      </c>
      <c r="D44" s="4">
        <v>0.1492</v>
      </c>
      <c r="E44" s="4">
        <v>0.15079999999999999</v>
      </c>
      <c r="F44" s="4">
        <v>0.10630000000000001</v>
      </c>
      <c r="G44" s="4">
        <v>8.6499999999999994E-2</v>
      </c>
      <c r="H44" s="4">
        <v>9.9400000000000002E-2</v>
      </c>
      <c r="I44" s="4">
        <v>0.1421</v>
      </c>
      <c r="J44" s="4">
        <v>0.1618</v>
      </c>
      <c r="K44" s="4">
        <v>0.18540000000000001</v>
      </c>
      <c r="L44" s="4">
        <v>0.17150000000000001</v>
      </c>
      <c r="M44" s="4">
        <v>0.17610000000000001</v>
      </c>
      <c r="N44" s="4">
        <v>0.16220000000000001</v>
      </c>
      <c r="O44" s="4">
        <v>0.62649999999999995</v>
      </c>
    </row>
    <row r="45" spans="1:15" x14ac:dyDescent="0.15">
      <c r="A45" s="16"/>
      <c r="B45" s="17"/>
      <c r="C45" s="2" t="s">
        <v>8</v>
      </c>
      <c r="D45" s="4">
        <v>9.3299999999999994E-2</v>
      </c>
      <c r="E45" s="4">
        <v>7.1099999999999997E-2</v>
      </c>
      <c r="F45" s="4">
        <v>8.7300000000000003E-2</v>
      </c>
      <c r="G45" s="4">
        <v>7.2599999999999998E-2</v>
      </c>
      <c r="H45" s="4">
        <v>0.1016</v>
      </c>
      <c r="I45" s="4">
        <v>0.1027</v>
      </c>
      <c r="J45" s="4">
        <v>0.10879999999999999</v>
      </c>
      <c r="K45" s="4">
        <v>9.8299999999999998E-2</v>
      </c>
      <c r="L45" s="4">
        <v>0.1206</v>
      </c>
      <c r="M45" s="4">
        <v>0.12139999999999999</v>
      </c>
      <c r="N45" s="4">
        <v>0.15809999999999999</v>
      </c>
      <c r="O45" s="4">
        <v>0.5847</v>
      </c>
    </row>
    <row r="46" spans="1:15" x14ac:dyDescent="0.15">
      <c r="A46" s="16"/>
      <c r="B46" s="17"/>
      <c r="C46" s="2" t="s">
        <v>9</v>
      </c>
      <c r="D46" s="4">
        <v>0.1229</v>
      </c>
      <c r="E46" s="4">
        <v>8.8999999999999996E-2</v>
      </c>
      <c r="F46" s="4">
        <v>9.9000000000000005E-2</v>
      </c>
      <c r="G46" s="4">
        <v>0.1037</v>
      </c>
      <c r="H46" s="4">
        <v>0.1075</v>
      </c>
      <c r="I46" s="4">
        <v>9.5600000000000004E-2</v>
      </c>
      <c r="J46" s="4">
        <v>0.1258</v>
      </c>
      <c r="K46" s="4">
        <v>0.15989999999999999</v>
      </c>
      <c r="L46" s="4">
        <v>0.16889999999999999</v>
      </c>
      <c r="M46" s="4">
        <v>0.1225</v>
      </c>
      <c r="N46" s="4">
        <v>0.12429999999999999</v>
      </c>
      <c r="O46" s="4">
        <v>0.65429999999999999</v>
      </c>
    </row>
    <row r="47" spans="1:15" x14ac:dyDescent="0.15">
      <c r="A47" s="16"/>
      <c r="B47" s="18">
        <v>2</v>
      </c>
      <c r="C47" s="2" t="s">
        <v>22</v>
      </c>
      <c r="D47" s="8">
        <v>1</v>
      </c>
      <c r="E47" s="8">
        <v>2</v>
      </c>
      <c r="F47" s="8">
        <v>3</v>
      </c>
      <c r="G47" s="8">
        <v>4</v>
      </c>
      <c r="H47" s="8">
        <v>5</v>
      </c>
      <c r="I47" s="8">
        <v>6</v>
      </c>
      <c r="J47" s="8">
        <v>7</v>
      </c>
      <c r="K47" s="8">
        <v>8</v>
      </c>
      <c r="L47" s="8">
        <v>9</v>
      </c>
      <c r="M47" s="8">
        <v>10</v>
      </c>
      <c r="N47" s="8">
        <v>11</v>
      </c>
      <c r="O47" s="8">
        <v>12</v>
      </c>
    </row>
    <row r="48" spans="1:15" x14ac:dyDescent="0.15">
      <c r="A48" s="16"/>
      <c r="B48" s="18"/>
      <c r="C48" s="7" t="s">
        <v>1</v>
      </c>
      <c r="D48" s="4">
        <v>9.7600000000000006E-2</v>
      </c>
      <c r="E48" s="4">
        <v>9.1899999999999996E-2</v>
      </c>
      <c r="F48" s="4">
        <v>0.14660000000000001</v>
      </c>
      <c r="G48" s="4">
        <v>0.23519999999999999</v>
      </c>
      <c r="H48" s="4">
        <v>0.33360000000000001</v>
      </c>
      <c r="I48" s="4">
        <v>0.29370000000000002</v>
      </c>
      <c r="J48" s="4">
        <v>0.40810000000000002</v>
      </c>
      <c r="K48" s="4">
        <v>0.39739999999999998</v>
      </c>
      <c r="L48" s="4">
        <v>0.37069999999999997</v>
      </c>
      <c r="M48" s="4">
        <v>0.35189999999999999</v>
      </c>
      <c r="N48" s="4">
        <v>0.14630000000000001</v>
      </c>
      <c r="O48" s="4">
        <v>0.4047</v>
      </c>
    </row>
    <row r="49" spans="1:15" x14ac:dyDescent="0.15">
      <c r="A49" s="16"/>
      <c r="B49" s="18"/>
      <c r="C49" s="7" t="s">
        <v>3</v>
      </c>
      <c r="D49" s="4">
        <v>9.0899999999999995E-2</v>
      </c>
      <c r="E49" s="4">
        <v>8.4099999999999994E-2</v>
      </c>
      <c r="F49" s="4">
        <v>8.5800000000000001E-2</v>
      </c>
      <c r="G49" s="4">
        <v>7.6200000000000004E-2</v>
      </c>
      <c r="H49" s="4">
        <v>8.9899999999999994E-2</v>
      </c>
      <c r="I49" s="4">
        <v>8.4199999999999997E-2</v>
      </c>
      <c r="J49" s="4">
        <v>0.1474</v>
      </c>
      <c r="K49" s="4">
        <v>0.16650000000000001</v>
      </c>
      <c r="L49" s="4">
        <v>0.20399999999999999</v>
      </c>
      <c r="M49" s="4">
        <v>0.21820000000000001</v>
      </c>
      <c r="N49" s="4">
        <v>0.16120000000000001</v>
      </c>
      <c r="O49" s="4">
        <v>0.68069999999999997</v>
      </c>
    </row>
    <row r="50" spans="1:15" x14ac:dyDescent="0.15">
      <c r="A50" s="16"/>
      <c r="B50" s="18"/>
      <c r="C50" s="7" t="s">
        <v>4</v>
      </c>
      <c r="D50" s="4">
        <v>0.1081</v>
      </c>
      <c r="E50" s="4">
        <v>0.10100000000000001</v>
      </c>
      <c r="F50" s="4">
        <v>0.1028</v>
      </c>
      <c r="G50" s="4">
        <v>7.4899999999999994E-2</v>
      </c>
      <c r="H50" s="4">
        <v>0.1142</v>
      </c>
      <c r="I50" s="4">
        <v>9.3700000000000006E-2</v>
      </c>
      <c r="J50" s="4">
        <v>0.1004</v>
      </c>
      <c r="K50" s="4">
        <v>0.16350000000000001</v>
      </c>
      <c r="L50" s="4">
        <v>7.2300000000000003E-2</v>
      </c>
      <c r="M50" s="4">
        <v>0.1371</v>
      </c>
      <c r="N50" s="4">
        <v>0.14580000000000001</v>
      </c>
      <c r="O50" s="4">
        <v>0.8145</v>
      </c>
    </row>
    <row r="51" spans="1:15" x14ac:dyDescent="0.15">
      <c r="A51" s="16"/>
      <c r="B51" s="18"/>
      <c r="C51" s="7" t="s">
        <v>5</v>
      </c>
      <c r="D51" s="4">
        <v>6.7100000000000007E-2</v>
      </c>
      <c r="E51" s="4">
        <v>5.8099999999999999E-2</v>
      </c>
      <c r="F51" s="4">
        <v>8.1199999999999994E-2</v>
      </c>
      <c r="G51" s="4">
        <v>8.3699999999999997E-2</v>
      </c>
      <c r="H51" s="4">
        <v>7.9200000000000007E-2</v>
      </c>
      <c r="I51" s="4">
        <v>8.8099999999999998E-2</v>
      </c>
      <c r="J51" s="4">
        <v>8.2199999999999995E-2</v>
      </c>
      <c r="K51" s="4">
        <v>0.1283</v>
      </c>
      <c r="L51" s="4">
        <v>0.1217</v>
      </c>
      <c r="M51" s="4">
        <v>0.1016</v>
      </c>
      <c r="N51" s="4">
        <v>0.1144</v>
      </c>
      <c r="O51" s="4">
        <v>0.63200000000000001</v>
      </c>
    </row>
    <row r="52" spans="1:15" x14ac:dyDescent="0.15">
      <c r="A52" s="16"/>
      <c r="B52" s="18"/>
      <c r="C52" s="7" t="s">
        <v>6</v>
      </c>
      <c r="D52" s="4">
        <v>9.8900000000000002E-2</v>
      </c>
      <c r="E52" s="4">
        <v>0.1394</v>
      </c>
      <c r="F52" s="4">
        <v>0.1198</v>
      </c>
      <c r="G52" s="4">
        <v>0.1361</v>
      </c>
      <c r="H52" s="4">
        <v>0.12429999999999999</v>
      </c>
      <c r="I52" s="4">
        <v>0.12959999999999999</v>
      </c>
      <c r="J52" s="4">
        <v>0.13819999999999999</v>
      </c>
      <c r="K52" s="4">
        <v>0.13220000000000001</v>
      </c>
      <c r="L52" s="4">
        <v>0.15570000000000001</v>
      </c>
      <c r="M52" s="4">
        <v>0.1701</v>
      </c>
      <c r="N52" s="4">
        <v>0.14410000000000001</v>
      </c>
      <c r="O52" s="4">
        <v>0.65510000000000002</v>
      </c>
    </row>
    <row r="53" spans="1:15" x14ac:dyDescent="0.15">
      <c r="A53" s="16"/>
      <c r="B53" s="18"/>
      <c r="C53" s="7" t="s">
        <v>7</v>
      </c>
      <c r="D53" s="4">
        <v>0.13739999999999999</v>
      </c>
      <c r="E53" s="4">
        <v>0.14990000000000001</v>
      </c>
      <c r="F53" s="4">
        <v>9.9400000000000002E-2</v>
      </c>
      <c r="G53" s="4">
        <v>8.5199999999999998E-2</v>
      </c>
      <c r="H53" s="4">
        <v>0.1016</v>
      </c>
      <c r="I53" s="4">
        <v>0.14649999999999999</v>
      </c>
      <c r="J53" s="4">
        <v>0.1651</v>
      </c>
      <c r="K53" s="4">
        <v>0.18729999999999999</v>
      </c>
      <c r="L53" s="4">
        <v>0.17249999999999999</v>
      </c>
      <c r="M53" s="4">
        <v>0.17979999999999999</v>
      </c>
      <c r="N53" s="4">
        <v>0.16309999999999999</v>
      </c>
      <c r="O53" s="4">
        <v>0.7349</v>
      </c>
    </row>
    <row r="54" spans="1:15" x14ac:dyDescent="0.15">
      <c r="A54" s="16"/>
      <c r="B54" s="18"/>
      <c r="C54" s="7" t="s">
        <v>8</v>
      </c>
      <c r="D54" s="4">
        <v>9.7100000000000006E-2</v>
      </c>
      <c r="E54" s="4">
        <v>7.3099999999999998E-2</v>
      </c>
      <c r="F54" s="4">
        <v>8.7999999999999995E-2</v>
      </c>
      <c r="G54" s="4">
        <v>7.4099999999999999E-2</v>
      </c>
      <c r="H54" s="4">
        <v>0.1056</v>
      </c>
      <c r="I54" s="4">
        <v>0.10440000000000001</v>
      </c>
      <c r="J54" s="4">
        <v>0.1089</v>
      </c>
      <c r="K54" s="4">
        <v>0.10050000000000001</v>
      </c>
      <c r="L54" s="4">
        <v>0.12039999999999999</v>
      </c>
      <c r="M54" s="4">
        <v>0.1244</v>
      </c>
      <c r="N54" s="4">
        <v>0.16420000000000001</v>
      </c>
      <c r="O54" s="4">
        <v>0.65139999999999998</v>
      </c>
    </row>
    <row r="55" spans="1:15" x14ac:dyDescent="0.15">
      <c r="A55" s="16"/>
      <c r="B55" s="18"/>
      <c r="C55" s="7" t="s">
        <v>9</v>
      </c>
      <c r="D55" s="4">
        <v>0.1268</v>
      </c>
      <c r="E55" s="4">
        <v>8.9700000000000002E-2</v>
      </c>
      <c r="F55" s="4">
        <v>9.9599999999999994E-2</v>
      </c>
      <c r="G55" s="4">
        <v>0.1028</v>
      </c>
      <c r="H55" s="4">
        <v>0.1087</v>
      </c>
      <c r="I55" s="4">
        <v>9.8500000000000004E-2</v>
      </c>
      <c r="J55" s="4">
        <v>0.125</v>
      </c>
      <c r="K55" s="4">
        <v>0.1636</v>
      </c>
      <c r="L55" s="4">
        <v>0.16850000000000001</v>
      </c>
      <c r="M55" s="4">
        <v>0.12529999999999999</v>
      </c>
      <c r="N55" s="4">
        <v>0.1265</v>
      </c>
      <c r="O55" s="4">
        <v>0.35630000000000001</v>
      </c>
    </row>
  </sheetData>
  <mergeCells count="10">
    <mergeCell ref="A38:A55"/>
    <mergeCell ref="B38:B46"/>
    <mergeCell ref="B47:B55"/>
    <mergeCell ref="C1:O1"/>
    <mergeCell ref="A2:A19"/>
    <mergeCell ref="B2:B10"/>
    <mergeCell ref="B11:B19"/>
    <mergeCell ref="A20:A37"/>
    <mergeCell ref="B20:B28"/>
    <mergeCell ref="B29:B37"/>
  </mergeCells>
  <conditionalFormatting sqref="D3:O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O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O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0:O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:O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8:O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7ED3-7D81-5A46-A830-96888F768C55}">
  <dimension ref="A1:B2"/>
  <sheetViews>
    <sheetView workbookViewId="0">
      <selection activeCell="D53" sqref="D53"/>
    </sheetView>
  </sheetViews>
  <sheetFormatPr baseColWidth="10" defaultRowHeight="13" x14ac:dyDescent="0.15"/>
  <sheetData>
    <row r="1" spans="1:2" x14ac:dyDescent="0.15">
      <c r="A1" s="10" t="s">
        <v>25</v>
      </c>
      <c r="B1" s="10" t="s">
        <v>23</v>
      </c>
    </row>
    <row r="2" spans="1:2" ht="16" x14ac:dyDescent="0.2">
      <c r="A2" s="5" t="s">
        <v>21</v>
      </c>
      <c r="B2" s="6">
        <v>3.8300000000000001E-2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layout</vt:lpstr>
      <vt:lpstr>measurement</vt:lpstr>
      <vt:lpstr>blank_well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Waldburger</cp:lastModifiedBy>
  <dcterms:created xsi:type="dcterms:W3CDTF">2022-03-15T22:26:04Z</dcterms:created>
  <dcterms:modified xsi:type="dcterms:W3CDTF">2022-09-28T23:06:42Z</dcterms:modified>
</cp:coreProperties>
</file>