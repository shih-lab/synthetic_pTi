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dburger/Documents/01.RESEARCH/01.experiments/e008.dRNA_seq/growth_curves/"/>
    </mc:Choice>
  </mc:AlternateContent>
  <xr:revisionPtr revIDLastSave="0" documentId="13_ncr:1_{501FB739-51FB-9E49-A08B-C1EE3239200A}" xr6:coauthVersionLast="47" xr6:coauthVersionMax="47" xr10:uidLastSave="{00000000-0000-0000-0000-000000000000}"/>
  <bookViews>
    <workbookView xWindow="0" yWindow="760" windowWidth="34560" windowHeight="21580" xr2:uid="{50D399A8-488D-974C-A2CB-5EA2F97E5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5" i="1" l="1"/>
  <c r="S4" i="1"/>
  <c r="T4" i="1" s="1"/>
  <c r="S5" i="1"/>
  <c r="T5" i="1" s="1"/>
  <c r="S6" i="1"/>
  <c r="T6" i="1" s="1"/>
  <c r="M5" i="1"/>
  <c r="M4" i="1"/>
  <c r="M3" i="1"/>
  <c r="M2" i="1"/>
  <c r="M7" i="1"/>
  <c r="M6" i="1"/>
  <c r="M8" i="1"/>
  <c r="M9" i="1"/>
  <c r="L2" i="1"/>
  <c r="M18" i="1"/>
  <c r="N18" i="1" s="1"/>
  <c r="O18" i="1" s="1"/>
  <c r="M17" i="1"/>
  <c r="N17" i="1" s="1"/>
  <c r="O17" i="1" s="1"/>
  <c r="M16" i="1"/>
  <c r="N16" i="1" s="1"/>
  <c r="O16" i="1" s="1"/>
  <c r="M15" i="1"/>
  <c r="N15" i="1" s="1"/>
  <c r="O15" i="1" s="1"/>
  <c r="M14" i="1"/>
  <c r="N14" i="1" s="1"/>
  <c r="O14" i="1" s="1"/>
  <c r="M13" i="1"/>
  <c r="N13" i="1" s="1"/>
  <c r="O13" i="1" s="1"/>
  <c r="M12" i="1"/>
  <c r="N12" i="1" s="1"/>
  <c r="O12" i="1" s="1"/>
  <c r="M11" i="1"/>
  <c r="N11" i="1" s="1"/>
  <c r="O11" i="1" s="1"/>
  <c r="C5" i="1"/>
  <c r="E5" i="1" s="1"/>
  <c r="C3" i="1"/>
  <c r="E3" i="1" s="1"/>
  <c r="C4" i="1"/>
  <c r="E4" i="1" s="1"/>
  <c r="F4" i="1" s="1"/>
  <c r="G4" i="1" s="1"/>
  <c r="H4" i="1" s="1"/>
  <c r="I4" i="1" s="1"/>
  <c r="J4" i="1" s="1"/>
  <c r="K4" i="1" s="1"/>
  <c r="L4" i="1" s="1"/>
  <c r="C12" i="1"/>
  <c r="E12" i="1" s="1"/>
  <c r="F12" i="1" s="1"/>
  <c r="G12" i="1" s="1"/>
  <c r="H12" i="1" s="1"/>
  <c r="I12" i="1" s="1"/>
  <c r="C6" i="1"/>
  <c r="E6" i="1" s="1"/>
  <c r="F6" i="1" s="1"/>
  <c r="G6" i="1" s="1"/>
  <c r="H6" i="1" s="1"/>
  <c r="I6" i="1" s="1"/>
  <c r="J6" i="1" s="1"/>
  <c r="K6" i="1" s="1"/>
  <c r="L6" i="1" s="1"/>
  <c r="C7" i="1"/>
  <c r="E7" i="1" s="1"/>
  <c r="F7" i="1" s="1"/>
  <c r="G7" i="1" s="1"/>
  <c r="H7" i="1" s="1"/>
  <c r="I7" i="1" s="1"/>
  <c r="J7" i="1" s="1"/>
  <c r="K7" i="1" s="1"/>
  <c r="L7" i="1" s="1"/>
  <c r="C9" i="1"/>
  <c r="E9" i="1" s="1"/>
  <c r="F9" i="1" s="1"/>
  <c r="G9" i="1" s="1"/>
  <c r="H9" i="1" s="1"/>
  <c r="I9" i="1" s="1"/>
  <c r="J9" i="1" s="1"/>
  <c r="K9" i="1" s="1"/>
  <c r="L9" i="1" s="1"/>
  <c r="C8" i="1"/>
  <c r="E8" i="1" s="1"/>
  <c r="F8" i="1" s="1"/>
  <c r="G8" i="1" s="1"/>
  <c r="H8" i="1" s="1"/>
  <c r="I8" i="1" s="1"/>
  <c r="J8" i="1" s="1"/>
  <c r="K8" i="1" s="1"/>
  <c r="L8" i="1" s="1"/>
  <c r="C2" i="1"/>
  <c r="E2" i="1" s="1"/>
  <c r="F5" i="1" l="1"/>
  <c r="G5" i="1" s="1"/>
  <c r="H5" i="1" s="1"/>
  <c r="I5" i="1" s="1"/>
  <c r="J5" i="1" s="1"/>
  <c r="K5" i="1" s="1"/>
  <c r="L5" i="1" s="1"/>
  <c r="F3" i="1"/>
  <c r="G3" i="1" s="1"/>
  <c r="H3" i="1" s="1"/>
  <c r="I3" i="1" s="1"/>
  <c r="J3" i="1" s="1"/>
  <c r="K3" i="1" s="1"/>
  <c r="L3" i="1" s="1"/>
  <c r="F2" i="1"/>
  <c r="G2" i="1" s="1"/>
  <c r="H2" i="1" s="1"/>
  <c r="I2" i="1" s="1"/>
  <c r="J2" i="1" s="1"/>
  <c r="K2" i="1" s="1"/>
</calcChain>
</file>

<file path=xl/sharedStrings.xml><?xml version="1.0" encoding="utf-8"?>
<sst xmlns="http://schemas.openxmlformats.org/spreadsheetml/2006/main" count="19" uniqueCount="19">
  <si>
    <t>carb</t>
  </si>
  <si>
    <t>gent</t>
  </si>
  <si>
    <t>kan50</t>
  </si>
  <si>
    <t>rif</t>
  </si>
  <si>
    <t>spec</t>
  </si>
  <si>
    <t>apramycin</t>
  </si>
  <si>
    <t>hygromycin</t>
  </si>
  <si>
    <t>tet (in 70% etoh)</t>
  </si>
  <si>
    <t>cam (in 50% etoh)</t>
  </si>
  <si>
    <t>concentration (mg/mL)</t>
  </si>
  <si>
    <t>concentration (mg/L)</t>
  </si>
  <si>
    <t>abx</t>
  </si>
  <si>
    <t>9 (have 1m)</t>
  </si>
  <si>
    <t xml:space="preserve">10 (have500uL) </t>
  </si>
  <si>
    <t>11 (have 250uL)</t>
  </si>
  <si>
    <t>sLW002</t>
  </si>
  <si>
    <t>OD</t>
  </si>
  <si>
    <t>sLW005</t>
  </si>
  <si>
    <t>sLW006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</si>
</sst>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AC92-DC04-D943-972B-10F1C972D0C6}">
  <dimension ref="A1:U18"/>
  <sheetViews>
    <sheetView tabSelected="1" zoomScale="125" workbookViewId="0">
      <selection activeCell="U6" sqref="U6"/>
    </sheetView>
  </sheetViews>
  <sheetFormatPr baseColWidth="10" defaultRowHeight="16" x14ac:dyDescent="0.2"/>
  <cols>
    <col min="1" max="1" width="18.33203125" customWidth="1"/>
    <col min="2" max="2" width="20.33203125" bestFit="1" customWidth="1"/>
    <col min="3" max="3" width="18.6640625" hidden="1" customWidth="1"/>
    <col min="4" max="4" width="0.83203125" customWidth="1"/>
    <col min="5" max="6" width="6.83203125" bestFit="1" customWidth="1"/>
    <col min="7" max="7" width="5.83203125" customWidth="1"/>
    <col min="8" max="9" width="5.83203125" bestFit="1" customWidth="1"/>
    <col min="10" max="10" width="4.6640625" bestFit="1" customWidth="1"/>
    <col min="11" max="11" width="7" customWidth="1"/>
    <col min="12" max="12" width="5.1640625" bestFit="1" customWidth="1"/>
  </cols>
  <sheetData>
    <row r="1" spans="1:21" x14ac:dyDescent="0.2">
      <c r="A1" s="2" t="s">
        <v>11</v>
      </c>
      <c r="B1" s="2" t="s">
        <v>9</v>
      </c>
      <c r="C1" s="2" t="s">
        <v>10</v>
      </c>
      <c r="D1" s="2"/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2">
        <v>8</v>
      </c>
      <c r="M1" s="2" t="s">
        <v>12</v>
      </c>
      <c r="N1" s="2" t="s">
        <v>13</v>
      </c>
      <c r="O1" s="2" t="s">
        <v>14</v>
      </c>
      <c r="P1" s="2"/>
      <c r="Q1" s="2"/>
    </row>
    <row r="2" spans="1:21" x14ac:dyDescent="0.2">
      <c r="A2" t="s">
        <v>0</v>
      </c>
      <c r="B2">
        <v>100</v>
      </c>
      <c r="C2">
        <f t="shared" ref="C2:C9" si="0">B2*1000</f>
        <v>100000</v>
      </c>
      <c r="E2" s="1">
        <f>(10000 * 1000) /C2</f>
        <v>100</v>
      </c>
      <c r="F2" s="1">
        <f t="shared" ref="F2:F9" si="1">E2/2</f>
        <v>50</v>
      </c>
      <c r="G2" s="1">
        <f t="shared" ref="G2" si="2">F2/2</f>
        <v>25</v>
      </c>
      <c r="H2" s="1">
        <f>G2/2</f>
        <v>12.5</v>
      </c>
      <c r="I2" s="1">
        <f>H2/2</f>
        <v>6.25</v>
      </c>
      <c r="J2" s="1">
        <f>I2/2</f>
        <v>3.125</v>
      </c>
      <c r="K2" s="1">
        <f>J2/2</f>
        <v>1.5625</v>
      </c>
      <c r="L2" s="1">
        <f>K2/2</f>
        <v>0.78125</v>
      </c>
      <c r="M2" s="3">
        <f>J11*(1500/1000)</f>
        <v>1.171875</v>
      </c>
    </row>
    <row r="3" spans="1:21" x14ac:dyDescent="0.2">
      <c r="A3" t="s">
        <v>1</v>
      </c>
      <c r="B3">
        <v>10</v>
      </c>
      <c r="C3">
        <f t="shared" si="0"/>
        <v>10000</v>
      </c>
      <c r="E3" s="1">
        <f>(2000 * 1000) /C3</f>
        <v>200</v>
      </c>
      <c r="F3" s="1">
        <f t="shared" si="1"/>
        <v>100</v>
      </c>
      <c r="G3" s="1">
        <f t="shared" ref="G3:H9" si="3">F3/2</f>
        <v>50</v>
      </c>
      <c r="H3" s="1">
        <f t="shared" si="3"/>
        <v>25</v>
      </c>
      <c r="I3" s="1">
        <f t="shared" ref="I3:L3" si="4">H3/2</f>
        <v>12.5</v>
      </c>
      <c r="J3" s="1">
        <f t="shared" si="4"/>
        <v>6.25</v>
      </c>
      <c r="K3" s="1">
        <f t="shared" si="4"/>
        <v>3.125</v>
      </c>
      <c r="L3" s="1">
        <f t="shared" si="4"/>
        <v>1.5625</v>
      </c>
      <c r="M3" s="3">
        <f>J12*(1500/1000)</f>
        <v>2.34375</v>
      </c>
      <c r="R3" t="s">
        <v>16</v>
      </c>
    </row>
    <row r="4" spans="1:21" x14ac:dyDescent="0.2">
      <c r="A4" t="s">
        <v>2</v>
      </c>
      <c r="B4">
        <v>50</v>
      </c>
      <c r="C4">
        <f t="shared" si="0"/>
        <v>50000</v>
      </c>
      <c r="E4" s="1">
        <f>(10000 * 1000) /C4</f>
        <v>200</v>
      </c>
      <c r="F4" s="1">
        <f t="shared" si="1"/>
        <v>100</v>
      </c>
      <c r="G4" s="1">
        <f t="shared" si="3"/>
        <v>50</v>
      </c>
      <c r="H4" s="1">
        <f t="shared" si="3"/>
        <v>25</v>
      </c>
      <c r="I4" s="1">
        <f t="shared" ref="I4:L4" si="5">H4/2</f>
        <v>12.5</v>
      </c>
      <c r="J4" s="1">
        <f t="shared" si="5"/>
        <v>6.25</v>
      </c>
      <c r="K4" s="1">
        <f t="shared" si="5"/>
        <v>3.125</v>
      </c>
      <c r="L4" s="1">
        <f t="shared" si="5"/>
        <v>1.5625</v>
      </c>
      <c r="M4" s="3">
        <f>J13*(1500/1000)</f>
        <v>2.34375</v>
      </c>
      <c r="Q4" t="s">
        <v>15</v>
      </c>
      <c r="R4">
        <v>0.97299999999999998</v>
      </c>
      <c r="S4">
        <f>(0.05*150)/R4</f>
        <v>7.7081192189105856</v>
      </c>
      <c r="T4">
        <f>S4*12</f>
        <v>92.497430626927027</v>
      </c>
    </row>
    <row r="5" spans="1:21" x14ac:dyDescent="0.2">
      <c r="A5" t="s">
        <v>8</v>
      </c>
      <c r="B5">
        <v>30</v>
      </c>
      <c r="C5">
        <f>B5*1000</f>
        <v>30000</v>
      </c>
      <c r="E5" s="1">
        <f>(5000 * 500) /C5</f>
        <v>83.333333333333329</v>
      </c>
      <c r="F5" s="1">
        <f t="shared" ref="F5:L5" si="6">E5/2</f>
        <v>41.666666666666664</v>
      </c>
      <c r="G5" s="1">
        <f t="shared" si="6"/>
        <v>20.833333333333332</v>
      </c>
      <c r="H5" s="1">
        <f t="shared" si="6"/>
        <v>10.416666666666666</v>
      </c>
      <c r="I5" s="1">
        <f t="shared" si="6"/>
        <v>5.208333333333333</v>
      </c>
      <c r="J5" s="1">
        <f t="shared" si="6"/>
        <v>2.6041666666666665</v>
      </c>
      <c r="K5" s="1">
        <f t="shared" si="6"/>
        <v>1.3020833333333333</v>
      </c>
      <c r="L5" s="1">
        <f t="shared" si="6"/>
        <v>0.65104166666666663</v>
      </c>
      <c r="M5" s="3">
        <f>J14*(1500/1000)</f>
        <v>0.9765625</v>
      </c>
      <c r="Q5" t="s">
        <v>17</v>
      </c>
      <c r="R5">
        <v>1.0449999999999999</v>
      </c>
      <c r="S5">
        <f t="shared" ref="S5:S6" si="7">(0.05*150)/R5</f>
        <v>7.1770334928229671</v>
      </c>
      <c r="T5">
        <f>S5*12</f>
        <v>86.124401913875602</v>
      </c>
      <c r="U5">
        <f>T5+S5</f>
        <v>93.301435406698573</v>
      </c>
    </row>
    <row r="6" spans="1:21" x14ac:dyDescent="0.2">
      <c r="A6" t="s">
        <v>4</v>
      </c>
      <c r="B6">
        <v>50</v>
      </c>
      <c r="C6">
        <f t="shared" si="0"/>
        <v>50000</v>
      </c>
      <c r="E6" s="1">
        <f>(10000 * 1000) /C6</f>
        <v>200</v>
      </c>
      <c r="F6" s="1">
        <f t="shared" si="1"/>
        <v>100</v>
      </c>
      <c r="G6" s="1">
        <f t="shared" si="3"/>
        <v>50</v>
      </c>
      <c r="H6" s="1">
        <f t="shared" si="3"/>
        <v>25</v>
      </c>
      <c r="I6" s="1">
        <f t="shared" ref="I6:L6" si="8">H6/2</f>
        <v>12.5</v>
      </c>
      <c r="J6" s="1">
        <f t="shared" si="8"/>
        <v>6.25</v>
      </c>
      <c r="K6" s="1">
        <f t="shared" si="8"/>
        <v>3.125</v>
      </c>
      <c r="L6" s="1">
        <f t="shared" si="8"/>
        <v>1.5625</v>
      </c>
      <c r="M6" s="3">
        <f>J15*(1500/1000)</f>
        <v>2.34375</v>
      </c>
      <c r="Q6" t="s">
        <v>18</v>
      </c>
      <c r="R6">
        <v>0.92100000000000004</v>
      </c>
      <c r="S6">
        <f t="shared" si="7"/>
        <v>8.1433224755700326</v>
      </c>
      <c r="T6">
        <f>S6*12</f>
        <v>97.719869706840399</v>
      </c>
    </row>
    <row r="7" spans="1:21" x14ac:dyDescent="0.2">
      <c r="A7" t="s">
        <v>7</v>
      </c>
      <c r="B7">
        <v>5</v>
      </c>
      <c r="C7">
        <f t="shared" si="0"/>
        <v>5000</v>
      </c>
      <c r="E7" s="1">
        <f>(500 * 1000) /C7</f>
        <v>100</v>
      </c>
      <c r="F7" s="1">
        <f t="shared" si="1"/>
        <v>50</v>
      </c>
      <c r="G7" s="1">
        <f t="shared" si="3"/>
        <v>25</v>
      </c>
      <c r="H7" s="1">
        <f t="shared" si="3"/>
        <v>12.5</v>
      </c>
      <c r="I7" s="1">
        <f t="shared" ref="I7:L7" si="9">H7/2</f>
        <v>6.25</v>
      </c>
      <c r="J7" s="1">
        <f t="shared" si="9"/>
        <v>3.125</v>
      </c>
      <c r="K7" s="1">
        <f t="shared" si="9"/>
        <v>1.5625</v>
      </c>
      <c r="L7" s="1">
        <f t="shared" si="9"/>
        <v>0.78125</v>
      </c>
      <c r="M7" s="3">
        <f>J16*(1500/1000)</f>
        <v>1.171875</v>
      </c>
    </row>
    <row r="8" spans="1:21" x14ac:dyDescent="0.2">
      <c r="A8" t="s">
        <v>6</v>
      </c>
      <c r="B8">
        <v>100</v>
      </c>
      <c r="C8">
        <f t="shared" si="0"/>
        <v>100000</v>
      </c>
      <c r="E8" s="1">
        <f>(10000 * 1000) /C8</f>
        <v>100</v>
      </c>
      <c r="F8" s="1">
        <f t="shared" si="1"/>
        <v>50</v>
      </c>
      <c r="G8" s="1">
        <f t="shared" si="3"/>
        <v>25</v>
      </c>
      <c r="H8" s="1">
        <f t="shared" si="3"/>
        <v>12.5</v>
      </c>
      <c r="I8" s="1">
        <f t="shared" ref="I8:L8" si="10">H8/2</f>
        <v>6.25</v>
      </c>
      <c r="J8" s="1">
        <f t="shared" si="10"/>
        <v>3.125</v>
      </c>
      <c r="K8" s="1">
        <f t="shared" si="10"/>
        <v>1.5625</v>
      </c>
      <c r="L8" s="1">
        <f t="shared" si="10"/>
        <v>0.78125</v>
      </c>
      <c r="M8" s="3">
        <f>J17*(1500/1000)</f>
        <v>1.171875</v>
      </c>
    </row>
    <row r="9" spans="1:21" x14ac:dyDescent="0.2">
      <c r="A9" t="s">
        <v>5</v>
      </c>
      <c r="B9">
        <v>100</v>
      </c>
      <c r="C9">
        <f t="shared" si="0"/>
        <v>100000</v>
      </c>
      <c r="E9" s="1">
        <f>(10000 * 1000) /C9</f>
        <v>100</v>
      </c>
      <c r="F9" s="1">
        <f t="shared" si="1"/>
        <v>50</v>
      </c>
      <c r="G9" s="1">
        <f t="shared" si="3"/>
        <v>25</v>
      </c>
      <c r="H9" s="1">
        <f t="shared" si="3"/>
        <v>12.5</v>
      </c>
      <c r="I9" s="1">
        <f t="shared" ref="I9:L9" si="11">H9/2</f>
        <v>6.25</v>
      </c>
      <c r="J9" s="1">
        <f t="shared" si="11"/>
        <v>3.125</v>
      </c>
      <c r="K9" s="1">
        <f t="shared" si="11"/>
        <v>1.5625</v>
      </c>
      <c r="L9" s="1">
        <f t="shared" si="11"/>
        <v>0.78125</v>
      </c>
      <c r="M9" s="3">
        <f>J18*(1500/1000)</f>
        <v>1.171875</v>
      </c>
    </row>
    <row r="11" spans="1:21" x14ac:dyDescent="0.2">
      <c r="J11">
        <v>0.78125</v>
      </c>
      <c r="L11">
        <v>1500</v>
      </c>
      <c r="M11">
        <f>L11/2</f>
        <v>750</v>
      </c>
      <c r="N11">
        <f>M11/2</f>
        <v>375</v>
      </c>
      <c r="O11">
        <f>N11/2</f>
        <v>187.5</v>
      </c>
    </row>
    <row r="12" spans="1:21" hidden="1" x14ac:dyDescent="0.2">
      <c r="A12" t="s">
        <v>3</v>
      </c>
      <c r="B12">
        <v>100</v>
      </c>
      <c r="C12">
        <f>B12*1000</f>
        <v>100000</v>
      </c>
      <c r="E12" s="1">
        <f>(10000 * 1000) /C12</f>
        <v>100</v>
      </c>
      <c r="F12" s="1">
        <f>E12/2</f>
        <v>50</v>
      </c>
      <c r="G12" s="1">
        <f>F12/2</f>
        <v>25</v>
      </c>
      <c r="H12" s="1">
        <f>G12/2</f>
        <v>12.5</v>
      </c>
      <c r="I12" s="1">
        <f t="shared" ref="I12:L13" si="12">H12/2</f>
        <v>6.25</v>
      </c>
      <c r="J12" s="1">
        <v>1.5625</v>
      </c>
      <c r="L12">
        <v>1500</v>
      </c>
      <c r="M12">
        <f t="shared" ref="M12:O12" si="13">L12/2</f>
        <v>750</v>
      </c>
      <c r="N12">
        <f t="shared" si="13"/>
        <v>375</v>
      </c>
      <c r="O12">
        <f t="shared" si="13"/>
        <v>187.5</v>
      </c>
    </row>
    <row r="13" spans="1:21" x14ac:dyDescent="0.2">
      <c r="J13">
        <v>1.5625</v>
      </c>
      <c r="L13">
        <v>1500</v>
      </c>
      <c r="M13">
        <f t="shared" ref="M13:O13" si="14">L13/2</f>
        <v>750</v>
      </c>
      <c r="N13">
        <f t="shared" si="14"/>
        <v>375</v>
      </c>
      <c r="O13">
        <f t="shared" si="14"/>
        <v>187.5</v>
      </c>
    </row>
    <row r="14" spans="1:21" x14ac:dyDescent="0.2">
      <c r="J14">
        <v>0.65104166666666663</v>
      </c>
      <c r="L14">
        <v>1500</v>
      </c>
      <c r="M14">
        <f t="shared" ref="M14:O14" si="15">L14/2</f>
        <v>750</v>
      </c>
      <c r="N14">
        <f t="shared" si="15"/>
        <v>375</v>
      </c>
      <c r="O14">
        <f t="shared" si="15"/>
        <v>187.5</v>
      </c>
    </row>
    <row r="15" spans="1:21" x14ac:dyDescent="0.2">
      <c r="E15" s="1"/>
      <c r="F15" s="1"/>
      <c r="G15" s="1"/>
      <c r="H15" s="1"/>
      <c r="I15" s="1"/>
      <c r="J15" s="1">
        <v>1.5625</v>
      </c>
      <c r="L15">
        <v>1500</v>
      </c>
      <c r="M15">
        <f t="shared" ref="M15:O15" si="16">L15/2</f>
        <v>750</v>
      </c>
      <c r="N15">
        <f t="shared" si="16"/>
        <v>375</v>
      </c>
      <c r="O15">
        <f t="shared" si="16"/>
        <v>187.5</v>
      </c>
    </row>
    <row r="16" spans="1:21" x14ac:dyDescent="0.2">
      <c r="J16">
        <v>0.78125</v>
      </c>
      <c r="L16">
        <v>1500</v>
      </c>
      <c r="M16">
        <f t="shared" ref="M16:O16" si="17">L16/2</f>
        <v>750</v>
      </c>
      <c r="N16">
        <f t="shared" si="17"/>
        <v>375</v>
      </c>
      <c r="O16">
        <f t="shared" si="17"/>
        <v>187.5</v>
      </c>
    </row>
    <row r="17" spans="10:15" x14ac:dyDescent="0.2">
      <c r="J17">
        <v>0.78125</v>
      </c>
      <c r="L17">
        <v>1500</v>
      </c>
      <c r="M17">
        <f t="shared" ref="M17:O17" si="18">L17/2</f>
        <v>750</v>
      </c>
      <c r="N17">
        <f t="shared" si="18"/>
        <v>375</v>
      </c>
      <c r="O17">
        <f t="shared" si="18"/>
        <v>187.5</v>
      </c>
    </row>
    <row r="18" spans="10:15" x14ac:dyDescent="0.2">
      <c r="J18">
        <v>0.78125</v>
      </c>
      <c r="L18">
        <v>1500</v>
      </c>
      <c r="M18">
        <f t="shared" ref="M18:O18" si="19">L18/2</f>
        <v>750</v>
      </c>
      <c r="N18">
        <f t="shared" si="19"/>
        <v>375</v>
      </c>
      <c r="O18">
        <f t="shared" si="19"/>
        <v>187.5</v>
      </c>
    </row>
  </sheetData>
  <printOptions gridLines="1"/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Waldburger</dc:creator>
  <cp:lastModifiedBy>Lucas Waldburger</cp:lastModifiedBy>
  <cp:lastPrinted>2022-03-13T03:37:49Z</cp:lastPrinted>
  <dcterms:created xsi:type="dcterms:W3CDTF">2022-03-12T21:47:24Z</dcterms:created>
  <dcterms:modified xsi:type="dcterms:W3CDTF">2022-03-14T18:39:45Z</dcterms:modified>
</cp:coreProperties>
</file>